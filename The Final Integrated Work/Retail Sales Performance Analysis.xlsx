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433d7340a187ea34/Desktop/"/>
    </mc:Choice>
  </mc:AlternateContent>
  <xr:revisionPtr revIDLastSave="1" documentId="14_{39C5B0C0-F5AC-4089-9878-61A20A56BAE1}" xr6:coauthVersionLast="47" xr6:coauthVersionMax="47" xr10:uidLastSave="{F020577C-F27C-4D01-93A2-114038F1C200}"/>
  <bookViews>
    <workbookView xWindow="-110" yWindow="-110" windowWidth="19420" windowHeight="10300" firstSheet="1" activeTab="5" xr2:uid="{00000000-000D-0000-FFFF-FFFF00000000}"/>
  </bookViews>
  <sheets>
    <sheet name="Sales_Transactions" sheetId="1" r:id="rId1"/>
    <sheet name="Customers_Dim" sheetId="2" r:id="rId2"/>
    <sheet name="Products_Dim" sheetId="3" r:id="rId3"/>
    <sheet name="Stores_Dim" sheetId="4" r:id="rId4"/>
    <sheet name="Business Ojective Analysis" sheetId="5" r:id="rId5"/>
    <sheet name="Dashboard" sheetId="6" r:id="rId6"/>
  </sheets>
  <definedNames>
    <definedName name="_xlnm._FilterDatabase" localSheetId="1" hidden="1">Customers_Dim!$A$1:$D$31</definedName>
    <definedName name="_xlnm._FilterDatabase" localSheetId="0" hidden="1">Sales_Transactions!$A$1:$F$31</definedName>
    <definedName name="_xlcn.WorksheetConnection_messy_retail_sales.xlsxTable11" hidden="1">Table1[]</definedName>
    <definedName name="_xlcn.WorksheetConnection_messy_retail_sales.xlsxTable21" hidden="1">Table2[]</definedName>
    <definedName name="_xlcn.WorksheetConnection_messy_retail_sales.xlsxTable31" hidden="1">Table3[]</definedName>
    <definedName name="_xlcn.WorksheetConnection_messy_retail_sales.xlsxTable41" hidden="1">Table4[]</definedName>
    <definedName name="Slicer_Sales_Date__Month">#N/A</definedName>
  </definedNames>
  <calcPr calcId="191029"/>
  <pivotCaches>
    <pivotCache cacheId="0" r:id="rId7"/>
    <pivotCache cacheId="1" r:id="rId8"/>
    <pivotCache cacheId="2" r:id="rId9"/>
    <pivotCache cacheId="3" r:id="rId10"/>
    <pivotCache cacheId="4" r:id="rId11"/>
  </pivotCaches>
  <extLst>
    <ext xmlns:x14="http://schemas.microsoft.com/office/spreadsheetml/2009/9/main" uri="{876F7934-8845-4945-9796-88D515C7AA90}">
      <x14:pivotCaches>
        <pivotCache cacheId="5"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Stores_Dim" connection="WorksheetConnection_messy_retail_sales.xlsx!Table4"/>
          <x15:modelTable id="Table3" name="Product_Dim" connection="WorksheetConnection_messy_retail_sales.xlsx!Table3"/>
          <x15:modelTable id="Table2" name="Customer_Dim" connection="WorksheetConnection_messy_retail_sales.xlsx!Table2"/>
          <x15:modelTable id="Table1" name="Sales_Fact" connection="WorksheetConnection_messy_retail_sales.xlsx!Table1"/>
        </x15:modelTables>
        <x15:modelRelationships>
          <x15:modelRelationship fromTable="Sales_Fact" fromColumn="CustomerID" toTable="Customer_Dim" toColumn="CustomerID"/>
          <x15:modelRelationship fromTable="Sales_Fact" fromColumn="ProductID" toTable="Product_Dim" toColumn="ProductID"/>
          <x15:modelRelationship fromTable="Sales_Fact" fromColumn="StoreID" toTable="Stores_Dim" toColumn="StoreID"/>
        </x15:modelRelationships>
        <x15:extLst>
          <ext xmlns:x16="http://schemas.microsoft.com/office/spreadsheetml/2014/11/main" uri="{9835A34E-60A6-4A7C-AAB8-D5F71C897F49}">
            <x16:modelTimeGroupings>
              <x16:modelTimeGrouping tableName="Sales_Fact" columnName="Sales_Date" columnId="Sales_Date">
                <x16:calculatedTimeColumn columnName="Sales_Date (Month Index)" columnId="Sales_Date (Month Index)" contentType="monthsindex" isSelected="1"/>
                <x16:calculatedTimeColumn columnName="Sales_Date (Month)" columnId="Sales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1" i="5" l="1"/>
  <c r="C4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1CF72A-2AC9-4D36-A61A-19F24EAF9A4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59521851-B618-4E9D-9CAF-F2BFBC71DE85}" name="WorksheetConnection_messy_retail_sales.xlsx!Table1" type="102" refreshedVersion="8" minRefreshableVersion="5">
    <extLst>
      <ext xmlns:x15="http://schemas.microsoft.com/office/spreadsheetml/2010/11/main" uri="{DE250136-89BD-433C-8126-D09CA5730AF9}">
        <x15:connection id="Table1">
          <x15:rangePr sourceName="_xlcn.WorksheetConnection_messy_retail_sales.xlsxTable11"/>
        </x15:connection>
      </ext>
    </extLst>
  </connection>
  <connection id="3" xr16:uid="{A55DE73F-D1C4-4235-84C3-44A6D3670825}" name="WorksheetConnection_messy_retail_sales.xlsx!Table2" type="102" refreshedVersion="8" minRefreshableVersion="5">
    <extLst>
      <ext xmlns:x15="http://schemas.microsoft.com/office/spreadsheetml/2010/11/main" uri="{DE250136-89BD-433C-8126-D09CA5730AF9}">
        <x15:connection id="Table2">
          <x15:rangePr sourceName="_xlcn.WorksheetConnection_messy_retail_sales.xlsxTable21"/>
        </x15:connection>
      </ext>
    </extLst>
  </connection>
  <connection id="4" xr16:uid="{ECFBA7D5-B043-4BA4-B0A2-DE11EC635FA9}" name="WorksheetConnection_messy_retail_sales.xlsx!Table3" type="102" refreshedVersion="8" minRefreshableVersion="5">
    <extLst>
      <ext xmlns:x15="http://schemas.microsoft.com/office/spreadsheetml/2010/11/main" uri="{DE250136-89BD-433C-8126-D09CA5730AF9}">
        <x15:connection id="Table3">
          <x15:rangePr sourceName="_xlcn.WorksheetConnection_messy_retail_sales.xlsxTable31"/>
        </x15:connection>
      </ext>
    </extLst>
  </connection>
  <connection id="5" xr16:uid="{FC9F7B30-1DE0-48E7-901F-2EED93652352}" name="WorksheetConnection_messy_retail_sales.xlsx!Table4" type="102" refreshedVersion="8" minRefreshableVersion="5">
    <extLst>
      <ext xmlns:x15="http://schemas.microsoft.com/office/spreadsheetml/2010/11/main" uri="{DE250136-89BD-433C-8126-D09CA5730AF9}">
        <x15:connection id="Table4">
          <x15:rangePr sourceName="_xlcn.WorksheetConnection_messy_retail_sales.xlsxTable41"/>
        </x15:connection>
      </ext>
    </extLst>
  </connection>
</connections>
</file>

<file path=xl/sharedStrings.xml><?xml version="1.0" encoding="utf-8"?>
<sst xmlns="http://schemas.openxmlformats.org/spreadsheetml/2006/main" count="325" uniqueCount="158">
  <si>
    <t>TransactionID</t>
  </si>
  <si>
    <t>CustomerID</t>
  </si>
  <si>
    <t>ProductID</t>
  </si>
  <si>
    <t>StoreID</t>
  </si>
  <si>
    <t>CUST-1028</t>
  </si>
  <si>
    <t>PROD-2005</t>
  </si>
  <si>
    <t>ST-03</t>
  </si>
  <si>
    <t>CUST-1007</t>
  </si>
  <si>
    <t>ST-04</t>
  </si>
  <si>
    <t>TX-5002</t>
  </si>
  <si>
    <t>CUST-1006</t>
  </si>
  <si>
    <t>PROD-2002</t>
  </si>
  <si>
    <t>ST-02</t>
  </si>
  <si>
    <t>CUST-1022</t>
  </si>
  <si>
    <t>PROD-2010</t>
  </si>
  <si>
    <t>CUST-1023</t>
  </si>
  <si>
    <t>PROD-2004</t>
  </si>
  <si>
    <t>PROD-2011</t>
  </si>
  <si>
    <t>TX-5006</t>
  </si>
  <si>
    <t>CUST-1021</t>
  </si>
  <si>
    <t>PROD-2000</t>
  </si>
  <si>
    <t>PROD-2012</t>
  </si>
  <si>
    <t>ST-01</t>
  </si>
  <si>
    <t>CUST-1005</t>
  </si>
  <si>
    <t>PROD-2003</t>
  </si>
  <si>
    <t>CUST-9999</t>
  </si>
  <si>
    <t>CUST-1000</t>
  </si>
  <si>
    <t>PROD-2013</t>
  </si>
  <si>
    <t>CUST-1027</t>
  </si>
  <si>
    <t>TX-5016</t>
  </si>
  <si>
    <t>CUST-1014</t>
  </si>
  <si>
    <t>PROD-2014</t>
  </si>
  <si>
    <t>TX-5018</t>
  </si>
  <si>
    <t>CUST-1011</t>
  </si>
  <si>
    <t>CUST-1024</t>
  </si>
  <si>
    <t>PROD-2006</t>
  </si>
  <si>
    <t>TX-5021</t>
  </si>
  <si>
    <t>CUST-1020</t>
  </si>
  <si>
    <t>PROD-2008</t>
  </si>
  <si>
    <t>TX-5022</t>
  </si>
  <si>
    <t>CUST-1017</t>
  </si>
  <si>
    <t>PROD-2007</t>
  </si>
  <si>
    <t>CUST-1025</t>
  </si>
  <si>
    <t>PROD-2001</t>
  </si>
  <si>
    <t>TX-5028</t>
  </si>
  <si>
    <t>TX-5029</t>
  </si>
  <si>
    <t>TX-5030</t>
  </si>
  <si>
    <t>CUST-1003</t>
  </si>
  <si>
    <t>CUST-1029</t>
  </si>
  <si>
    <t>TX-5037</t>
  </si>
  <si>
    <t>CUST-1015</t>
  </si>
  <si>
    <t>CUST-1008</t>
  </si>
  <si>
    <t>PROD-2009</t>
  </si>
  <si>
    <t>TX-5046</t>
  </si>
  <si>
    <t>CUST-1012</t>
  </si>
  <si>
    <t>TX-5048</t>
  </si>
  <si>
    <t>CUST-1009</t>
  </si>
  <si>
    <t>TX-5056</t>
  </si>
  <si>
    <t>CUST-1001</t>
  </si>
  <si>
    <t>TX-5058</t>
  </si>
  <si>
    <t>CUST-1026</t>
  </si>
  <si>
    <t>CUST-1002</t>
  </si>
  <si>
    <t>CUST-1013</t>
  </si>
  <si>
    <t>TX-5063</t>
  </si>
  <si>
    <t>CUST-1004</t>
  </si>
  <si>
    <t>TX-5065</t>
  </si>
  <si>
    <t>TX-5069</t>
  </si>
  <si>
    <t>CUST-1016</t>
  </si>
  <si>
    <t>TX-5080</t>
  </si>
  <si>
    <t>TX-5082</t>
  </si>
  <si>
    <t>TX-5085</t>
  </si>
  <si>
    <t>CUST-1019</t>
  </si>
  <si>
    <t>TX-5088</t>
  </si>
  <si>
    <t>TX-5094</t>
  </si>
  <si>
    <t>TX-5100</t>
  </si>
  <si>
    <t>CUST-1018</t>
  </si>
  <si>
    <t>TX-5123</t>
  </si>
  <si>
    <t>TX-5124</t>
  </si>
  <si>
    <t>TX-5137</t>
  </si>
  <si>
    <t>TX-5139</t>
  </si>
  <si>
    <t>TX-5140</t>
  </si>
  <si>
    <t>TX-5148</t>
  </si>
  <si>
    <t>TX-5149</t>
  </si>
  <si>
    <t>Customer_Name</t>
  </si>
  <si>
    <t>John Doe</t>
  </si>
  <si>
    <t>john.doe@gmail.com</t>
  </si>
  <si>
    <t>Jane Smith</t>
  </si>
  <si>
    <t>jane.smith@yahoo.com</t>
  </si>
  <si>
    <t>Charlie Green</t>
  </si>
  <si>
    <t>Emily White</t>
  </si>
  <si>
    <t>emily.w@gmail.com</t>
  </si>
  <si>
    <t>Frank Black</t>
  </si>
  <si>
    <t>frank@black.com</t>
  </si>
  <si>
    <t>Grace Summary</t>
  </si>
  <si>
    <t>grace@summary.com</t>
  </si>
  <si>
    <t>Henry Ford</t>
  </si>
  <si>
    <t>henry@ford.com</t>
  </si>
  <si>
    <t>Ivy League</t>
  </si>
  <si>
    <t>ivy@league.com</t>
  </si>
  <si>
    <t>CUST-1010</t>
  </si>
  <si>
    <t>ProductName</t>
  </si>
  <si>
    <t>Category</t>
  </si>
  <si>
    <t>Wireless Mouse</t>
  </si>
  <si>
    <t>Electronics</t>
  </si>
  <si>
    <t>Mechanical Keyboard</t>
  </si>
  <si>
    <t>27-inch Monitor</t>
  </si>
  <si>
    <t>USB-C Hub</t>
  </si>
  <si>
    <t>Accessories</t>
  </si>
  <si>
    <t>Laptop Stand</t>
  </si>
  <si>
    <t>Office Supplies</t>
  </si>
  <si>
    <t>Bluetooth Speaker</t>
  </si>
  <si>
    <t>Audio</t>
  </si>
  <si>
    <t>Noise Cancelling Headphones</t>
  </si>
  <si>
    <t>Smartphone Case</t>
  </si>
  <si>
    <t>Wireless Charger</t>
  </si>
  <si>
    <t>External Hard Drive</t>
  </si>
  <si>
    <t>Computers</t>
  </si>
  <si>
    <t>Desk Mat</t>
  </si>
  <si>
    <t>Office</t>
  </si>
  <si>
    <t>LED Desk Lamp</t>
  </si>
  <si>
    <t>Ergonomic Office Chair</t>
  </si>
  <si>
    <t>Furniture</t>
  </si>
  <si>
    <t>Webcam 1080p</t>
  </si>
  <si>
    <t>Microphone</t>
  </si>
  <si>
    <t>Alice Smith</t>
  </si>
  <si>
    <t>Charlie Brown</t>
  </si>
  <si>
    <t>UNKNOWN</t>
  </si>
  <si>
    <t>Qty_Order</t>
  </si>
  <si>
    <t>Sales_Date</t>
  </si>
  <si>
    <t>Registration_Date</t>
  </si>
  <si>
    <t>Bob Johnson</t>
  </si>
  <si>
    <t>Alice Brown</t>
  </si>
  <si>
    <t>Email_Address</t>
  </si>
  <si>
    <t>bjohnson@outlook.com</t>
  </si>
  <si>
    <t>alice.b@company.com</t>
  </si>
  <si>
    <t>No Email Provided</t>
  </si>
  <si>
    <t>Unit_Price</t>
  </si>
  <si>
    <t xml:space="preserve">North </t>
  </si>
  <si>
    <t>Region</t>
  </si>
  <si>
    <t xml:space="preserve">South </t>
  </si>
  <si>
    <t>West</t>
  </si>
  <si>
    <t xml:space="preserve">East </t>
  </si>
  <si>
    <t>Store_Manager</t>
  </si>
  <si>
    <t>Bob Jones</t>
  </si>
  <si>
    <t>Diana Prince</t>
  </si>
  <si>
    <t>Total Revenue</t>
  </si>
  <si>
    <t>East</t>
  </si>
  <si>
    <t>North</t>
  </si>
  <si>
    <t>South</t>
  </si>
  <si>
    <t>Grand Total</t>
  </si>
  <si>
    <t>Jan</t>
  </si>
  <si>
    <t>Feb</t>
  </si>
  <si>
    <t>Mar</t>
  </si>
  <si>
    <t>Month</t>
  </si>
  <si>
    <t>Sum of Qty_Order</t>
  </si>
  <si>
    <t>Customer_Nmae</t>
  </si>
  <si>
    <t>KPIs</t>
  </si>
  <si>
    <t>Total Qty.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</si>
</sst>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
  </numFmts>
  <fonts count="2" x14ac:knownFonts="1">
    <font>
      <sz val="11"/>
      <color theme="1"/>
      <name val="Calibri"/>
      <family val="2"/>
      <scheme val="minor"/>
    </font>
    <font>
      <b/>
      <sz val="11"/>
      <name val="Calibri"/>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4" fontId="0" fillId="0" borderId="0" xfId="0" applyNumberFormat="1"/>
    <xf numFmtId="0" fontId="1" fillId="0" borderId="2" xfId="0" applyFont="1" applyFill="1" applyBorder="1" applyAlignment="1">
      <alignment horizontal="center" vertical="top"/>
    </xf>
    <xf numFmtId="0" fontId="1" fillId="0" borderId="2" xfId="0" applyFont="1" applyBorder="1" applyAlignment="1">
      <alignment horizontal="center" vertical="top"/>
    </xf>
    <xf numFmtId="44" fontId="0" fillId="0" borderId="0" xfId="0" applyNumberFormat="1"/>
    <xf numFmtId="0" fontId="1" fillId="0" borderId="3" xfId="0" applyFont="1" applyBorder="1" applyAlignment="1">
      <alignment horizontal="center" vertical="top"/>
    </xf>
    <xf numFmtId="44" fontId="1" fillId="0" borderId="3" xfId="0" applyNumberFormat="1"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2">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4" formatCode="_(&quot;$&quot;* #,##0.00_);_(&quot;$&quot;* \(#,##0.00\);_(&quot;$&quot;* &quot;-&quot;??_);_(@_)"/>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m/d/yyyy"/>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4.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Project.xlsx]Business Ojective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'Business Ojective Analysis'!$C$3:$C$5</c:f>
              <c:strCache>
                <c:ptCount val="1"/>
                <c:pt idx="0">
                  <c:v>Jan</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Ojective Analysis'!$B$6:$B$10</c:f>
              <c:strCache>
                <c:ptCount val="4"/>
                <c:pt idx="0">
                  <c:v>East</c:v>
                </c:pt>
                <c:pt idx="1">
                  <c:v>North</c:v>
                </c:pt>
                <c:pt idx="2">
                  <c:v>South</c:v>
                </c:pt>
                <c:pt idx="3">
                  <c:v>West</c:v>
                </c:pt>
              </c:strCache>
            </c:strRef>
          </c:cat>
          <c:val>
            <c:numRef>
              <c:f>'Business Ojective Analysis'!$C$6:$C$10</c:f>
              <c:numCache>
                <c:formatCode>\$#,##0;\(\$#,##0\);\$#,##0</c:formatCode>
                <c:ptCount val="4"/>
                <c:pt idx="0">
                  <c:v>1535.89</c:v>
                </c:pt>
                <c:pt idx="1">
                  <c:v>3464.7899999999995</c:v>
                </c:pt>
                <c:pt idx="2">
                  <c:v>3978.7999999999997</c:v>
                </c:pt>
                <c:pt idx="3">
                  <c:v>3344.8100000000004</c:v>
                </c:pt>
              </c:numCache>
            </c:numRef>
          </c:val>
          <c:smooth val="0"/>
          <c:extLst>
            <c:ext xmlns:c16="http://schemas.microsoft.com/office/drawing/2014/chart" uri="{C3380CC4-5D6E-409C-BE32-E72D297353CC}">
              <c16:uniqueId val="{00000000-2A28-482E-8046-84C1A0A4EA89}"/>
            </c:ext>
          </c:extLst>
        </c:ser>
        <c:ser>
          <c:idx val="1"/>
          <c:order val="1"/>
          <c:tx>
            <c:strRef>
              <c:f>'Business Ojective Analysis'!$D$3:$D$5</c:f>
              <c:strCache>
                <c:ptCount val="1"/>
                <c:pt idx="0">
                  <c:v>Feb</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Ojective Analysis'!$B$6:$B$10</c:f>
              <c:strCache>
                <c:ptCount val="4"/>
                <c:pt idx="0">
                  <c:v>East</c:v>
                </c:pt>
                <c:pt idx="1">
                  <c:v>North</c:v>
                </c:pt>
                <c:pt idx="2">
                  <c:v>South</c:v>
                </c:pt>
                <c:pt idx="3">
                  <c:v>West</c:v>
                </c:pt>
              </c:strCache>
            </c:strRef>
          </c:cat>
          <c:val>
            <c:numRef>
              <c:f>'Business Ojective Analysis'!$D$6:$D$10</c:f>
              <c:numCache>
                <c:formatCode>\$#,##0;\(\$#,##0\);\$#,##0</c:formatCode>
                <c:ptCount val="4"/>
                <c:pt idx="0">
                  <c:v>3998.75</c:v>
                </c:pt>
                <c:pt idx="1">
                  <c:v>3463.2999999999993</c:v>
                </c:pt>
                <c:pt idx="2">
                  <c:v>2800.3</c:v>
                </c:pt>
                <c:pt idx="3">
                  <c:v>3871.83</c:v>
                </c:pt>
              </c:numCache>
            </c:numRef>
          </c:val>
          <c:smooth val="0"/>
          <c:extLst>
            <c:ext xmlns:c16="http://schemas.microsoft.com/office/drawing/2014/chart" uri="{C3380CC4-5D6E-409C-BE32-E72D297353CC}">
              <c16:uniqueId val="{00000001-2A28-482E-8046-84C1A0A4EA89}"/>
            </c:ext>
          </c:extLst>
        </c:ser>
        <c:ser>
          <c:idx val="2"/>
          <c:order val="2"/>
          <c:tx>
            <c:strRef>
              <c:f>'Business Ojective Analysis'!$E$3:$E$5</c:f>
              <c:strCache>
                <c:ptCount val="1"/>
                <c:pt idx="0">
                  <c:v>Mar</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Ojective Analysis'!$B$6:$B$10</c:f>
              <c:strCache>
                <c:ptCount val="4"/>
                <c:pt idx="0">
                  <c:v>East</c:v>
                </c:pt>
                <c:pt idx="1">
                  <c:v>North</c:v>
                </c:pt>
                <c:pt idx="2">
                  <c:v>South</c:v>
                </c:pt>
                <c:pt idx="3">
                  <c:v>West</c:v>
                </c:pt>
              </c:strCache>
            </c:strRef>
          </c:cat>
          <c:val>
            <c:numRef>
              <c:f>'Business Ojective Analysis'!$E$6:$E$10</c:f>
              <c:numCache>
                <c:formatCode>\$#,##0;\(\$#,##0\);\$#,##0</c:formatCode>
                <c:ptCount val="4"/>
                <c:pt idx="0">
                  <c:v>91.49</c:v>
                </c:pt>
                <c:pt idx="1">
                  <c:v>0</c:v>
                </c:pt>
                <c:pt idx="2">
                  <c:v>599.97</c:v>
                </c:pt>
                <c:pt idx="3">
                  <c:v>39.979999999999997</c:v>
                </c:pt>
              </c:numCache>
            </c:numRef>
          </c:val>
          <c:smooth val="0"/>
          <c:extLst>
            <c:ext xmlns:c16="http://schemas.microsoft.com/office/drawing/2014/chart" uri="{C3380CC4-5D6E-409C-BE32-E72D297353CC}">
              <c16:uniqueId val="{00000002-2A28-482E-8046-84C1A0A4EA89}"/>
            </c:ext>
          </c:extLst>
        </c:ser>
        <c:dLbls>
          <c:dLblPos val="t"/>
          <c:showLegendKey val="0"/>
          <c:showVal val="1"/>
          <c:showCatName val="0"/>
          <c:showSerName val="0"/>
          <c:showPercent val="0"/>
          <c:showBubbleSize val="0"/>
        </c:dLbls>
        <c:smooth val="0"/>
        <c:axId val="1350107503"/>
        <c:axId val="1350106063"/>
      </c:lineChart>
      <c:catAx>
        <c:axId val="135010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106063"/>
        <c:crosses val="autoZero"/>
        <c:auto val="1"/>
        <c:lblAlgn val="ctr"/>
        <c:lblOffset val="100"/>
        <c:noMultiLvlLbl val="0"/>
      </c:catAx>
      <c:valAx>
        <c:axId val="1350106063"/>
        <c:scaling>
          <c:orientation val="minMax"/>
        </c:scaling>
        <c:delete val="1"/>
        <c:axPos val="l"/>
        <c:numFmt formatCode="\$#,##0;\(\$#,##0\);\$#,##0" sourceLinked="1"/>
        <c:majorTickMark val="none"/>
        <c:minorTickMark val="none"/>
        <c:tickLblPos val="nextTo"/>
        <c:crossAx val="1350107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Project.xlsx]Business Ojective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'Business Ojective Analysis'!$C$18</c:f>
              <c:strCache>
                <c:ptCount val="1"/>
                <c:pt idx="0">
                  <c:v>Sum of Qty_Order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Ojective Analysis'!$B$19:$B$26</c:f>
              <c:strCache>
                <c:ptCount val="7"/>
                <c:pt idx="0">
                  <c:v>Accessories</c:v>
                </c:pt>
                <c:pt idx="1">
                  <c:v>Audio</c:v>
                </c:pt>
                <c:pt idx="2">
                  <c:v>Computers</c:v>
                </c:pt>
                <c:pt idx="3">
                  <c:v>Electronics</c:v>
                </c:pt>
                <c:pt idx="4">
                  <c:v>Furniture</c:v>
                </c:pt>
                <c:pt idx="5">
                  <c:v>Office</c:v>
                </c:pt>
                <c:pt idx="6">
                  <c:v>Office Supplies</c:v>
                </c:pt>
              </c:strCache>
            </c:strRef>
          </c:cat>
          <c:val>
            <c:numRef>
              <c:f>'Business Ojective Analysis'!$C$19:$C$26</c:f>
              <c:numCache>
                <c:formatCode>General</c:formatCode>
                <c:ptCount val="7"/>
                <c:pt idx="0">
                  <c:v>37</c:v>
                </c:pt>
                <c:pt idx="1">
                  <c:v>75</c:v>
                </c:pt>
                <c:pt idx="2">
                  <c:v>53</c:v>
                </c:pt>
                <c:pt idx="3">
                  <c:v>68</c:v>
                </c:pt>
                <c:pt idx="4">
                  <c:v>32</c:v>
                </c:pt>
                <c:pt idx="5">
                  <c:v>6</c:v>
                </c:pt>
                <c:pt idx="6">
                  <c:v>61</c:v>
                </c:pt>
              </c:numCache>
            </c:numRef>
          </c:val>
          <c:extLst>
            <c:ext xmlns:c16="http://schemas.microsoft.com/office/drawing/2014/chart" uri="{C3380CC4-5D6E-409C-BE32-E72D297353CC}">
              <c16:uniqueId val="{00000000-152A-4EBA-A9C0-9850D79FF457}"/>
            </c:ext>
          </c:extLst>
        </c:ser>
        <c:ser>
          <c:idx val="1"/>
          <c:order val="1"/>
          <c:tx>
            <c:strRef>
              <c:f>'Business Ojective Analysis'!$D$18</c:f>
              <c:strCache>
                <c:ptCount val="1"/>
                <c:pt idx="0">
                  <c:v>Total Revenue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Ojective Analysis'!$B$19:$B$26</c:f>
              <c:strCache>
                <c:ptCount val="7"/>
                <c:pt idx="0">
                  <c:v>Accessories</c:v>
                </c:pt>
                <c:pt idx="1">
                  <c:v>Audio</c:v>
                </c:pt>
                <c:pt idx="2">
                  <c:v>Computers</c:v>
                </c:pt>
                <c:pt idx="3">
                  <c:v>Electronics</c:v>
                </c:pt>
                <c:pt idx="4">
                  <c:v>Furniture</c:v>
                </c:pt>
                <c:pt idx="5">
                  <c:v>Office</c:v>
                </c:pt>
                <c:pt idx="6">
                  <c:v>Office Supplies</c:v>
                </c:pt>
              </c:strCache>
            </c:strRef>
          </c:cat>
          <c:val>
            <c:numRef>
              <c:f>'Business Ojective Analysis'!$D$19:$D$26</c:f>
              <c:numCache>
                <c:formatCode>\$#,##0;\(\$#,##0\);\$#,##0</c:formatCode>
                <c:ptCount val="7"/>
                <c:pt idx="0">
                  <c:v>871.63000000000022</c:v>
                </c:pt>
                <c:pt idx="1">
                  <c:v>6407</c:v>
                </c:pt>
                <c:pt idx="2">
                  <c:v>7299.4699999999984</c:v>
                </c:pt>
                <c:pt idx="3">
                  <c:v>2976.6899999999996</c:v>
                </c:pt>
                <c:pt idx="4">
                  <c:v>7999.68</c:v>
                </c:pt>
                <c:pt idx="5">
                  <c:v>119.94</c:v>
                </c:pt>
                <c:pt idx="6">
                  <c:v>1515.5</c:v>
                </c:pt>
              </c:numCache>
            </c:numRef>
          </c:val>
          <c:extLst>
            <c:ext xmlns:c16="http://schemas.microsoft.com/office/drawing/2014/chart" uri="{C3380CC4-5D6E-409C-BE32-E72D297353CC}">
              <c16:uniqueId val="{00000001-152A-4EBA-A9C0-9850D79FF457}"/>
            </c:ext>
          </c:extLst>
        </c:ser>
        <c:dLbls>
          <c:dLblPos val="outEnd"/>
          <c:showLegendKey val="0"/>
          <c:showVal val="1"/>
          <c:showCatName val="0"/>
          <c:showSerName val="0"/>
          <c:showPercent val="0"/>
          <c:showBubbleSize val="0"/>
        </c:dLbls>
        <c:gapWidth val="182"/>
        <c:axId val="1351709759"/>
        <c:axId val="1351709279"/>
      </c:barChart>
      <c:catAx>
        <c:axId val="1351709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709279"/>
        <c:crosses val="autoZero"/>
        <c:auto val="1"/>
        <c:lblAlgn val="ctr"/>
        <c:lblOffset val="100"/>
        <c:noMultiLvlLbl val="0"/>
      </c:catAx>
      <c:valAx>
        <c:axId val="1351709279"/>
        <c:scaling>
          <c:orientation val="minMax"/>
        </c:scaling>
        <c:delete val="1"/>
        <c:axPos val="b"/>
        <c:numFmt formatCode="General" sourceLinked="1"/>
        <c:majorTickMark val="none"/>
        <c:minorTickMark val="none"/>
        <c:tickLblPos val="nextTo"/>
        <c:crossAx val="1351709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Project.xlsx]Business Ojective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 Ojective Analysis'!$C$29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Ojective Analysis'!$B$30:$B$40</c:f>
              <c:strCache>
                <c:ptCount val="10"/>
                <c:pt idx="0">
                  <c:v>Jane Smith</c:v>
                </c:pt>
                <c:pt idx="1">
                  <c:v>Frank Black</c:v>
                </c:pt>
                <c:pt idx="2">
                  <c:v>Alice Brown</c:v>
                </c:pt>
                <c:pt idx="3">
                  <c:v>Bob Johnson</c:v>
                </c:pt>
                <c:pt idx="4">
                  <c:v>Emily White</c:v>
                </c:pt>
                <c:pt idx="5">
                  <c:v>Grace Summary</c:v>
                </c:pt>
                <c:pt idx="6">
                  <c:v>John Doe</c:v>
                </c:pt>
                <c:pt idx="7">
                  <c:v>Charlie Green</c:v>
                </c:pt>
                <c:pt idx="8">
                  <c:v>Henry Ford</c:v>
                </c:pt>
                <c:pt idx="9">
                  <c:v>Ivy League</c:v>
                </c:pt>
              </c:strCache>
            </c:strRef>
          </c:cat>
          <c:val>
            <c:numRef>
              <c:f>'Business Ojective Analysis'!$C$30:$C$40</c:f>
              <c:numCache>
                <c:formatCode>\$#,##0;\(\$#,##0\);\$#,##0</c:formatCode>
                <c:ptCount val="10"/>
                <c:pt idx="0">
                  <c:v>4740.6999999999989</c:v>
                </c:pt>
                <c:pt idx="1">
                  <c:v>3916.7899999999995</c:v>
                </c:pt>
                <c:pt idx="2">
                  <c:v>3485.84</c:v>
                </c:pt>
                <c:pt idx="3">
                  <c:v>3022.29</c:v>
                </c:pt>
                <c:pt idx="4">
                  <c:v>2927.37</c:v>
                </c:pt>
                <c:pt idx="5">
                  <c:v>2918.84</c:v>
                </c:pt>
                <c:pt idx="6">
                  <c:v>1836.4</c:v>
                </c:pt>
                <c:pt idx="7">
                  <c:v>1180.46</c:v>
                </c:pt>
                <c:pt idx="8">
                  <c:v>1113.42</c:v>
                </c:pt>
                <c:pt idx="9">
                  <c:v>914.39</c:v>
                </c:pt>
              </c:numCache>
            </c:numRef>
          </c:val>
          <c:extLst>
            <c:ext xmlns:c16="http://schemas.microsoft.com/office/drawing/2014/chart" uri="{C3380CC4-5D6E-409C-BE32-E72D297353CC}">
              <c16:uniqueId val="{00000000-C83D-460A-93C1-FE39D3103B9E}"/>
            </c:ext>
          </c:extLst>
        </c:ser>
        <c:dLbls>
          <c:dLblPos val="outEnd"/>
          <c:showLegendKey val="0"/>
          <c:showVal val="1"/>
          <c:showCatName val="0"/>
          <c:showSerName val="0"/>
          <c:showPercent val="0"/>
          <c:showBubbleSize val="0"/>
        </c:dLbls>
        <c:gapWidth val="219"/>
        <c:overlap val="-27"/>
        <c:axId val="2069110431"/>
        <c:axId val="2069110911"/>
      </c:barChart>
      <c:catAx>
        <c:axId val="206911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110911"/>
        <c:crosses val="autoZero"/>
        <c:auto val="1"/>
        <c:lblAlgn val="ctr"/>
        <c:lblOffset val="100"/>
        <c:noMultiLvlLbl val="0"/>
      </c:catAx>
      <c:valAx>
        <c:axId val="2069110911"/>
        <c:scaling>
          <c:orientation val="minMax"/>
        </c:scaling>
        <c:delete val="1"/>
        <c:axPos val="l"/>
        <c:numFmt formatCode="\$#,##0;\(\$#,##0\);\$#,##0" sourceLinked="1"/>
        <c:majorTickMark val="none"/>
        <c:minorTickMark val="none"/>
        <c:tickLblPos val="nextTo"/>
        <c:crossAx val="2069110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Project.xlsx]Business Ojective Analysis!PivotTable1</c:name>
    <c:fmtId val="3"/>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b="1">
                <a:latin typeface="Times New Roman" panose="02020603050405020304" pitchFamily="18" charset="0"/>
                <a:cs typeface="Times New Roman" panose="02020603050405020304" pitchFamily="18" charset="0"/>
              </a:rPr>
              <a:t>RevenuE By Region</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19050" cap="rnd" cmpd="sng" algn="ctr">
            <a:solidFill>
              <a:schemeClr val="accent5">
                <a:lumMod val="7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19050" cap="rnd" cmpd="sng" algn="ctr">
            <a:solidFill>
              <a:schemeClr val="accent5">
                <a:lumMod val="75000"/>
              </a:schemeClr>
            </a:solidFill>
            <a:round/>
          </a:ln>
          <a:effectLst/>
        </c:spPr>
        <c:marker>
          <c:symbol val="circle"/>
          <c:size val="17"/>
          <c:spPr>
            <a:solidFill>
              <a:sysClr val="window" lastClr="FFFFFF"/>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19050" cap="rnd" cmpd="sng" algn="ctr">
            <a:solidFill>
              <a:schemeClr val="accent5">
                <a:lumMod val="75000"/>
              </a:schemeClr>
            </a:solidFill>
            <a:round/>
          </a:ln>
          <a:effectLst/>
        </c:spPr>
        <c:marker>
          <c:symbol val="circle"/>
          <c:size val="17"/>
          <c:spPr>
            <a:solidFill>
              <a:schemeClr val="lt1"/>
            </a:solidFill>
            <a:ln>
              <a:no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'Business Ojective Analysis'!$C$3:$C$5</c:f>
              <c:strCache>
                <c:ptCount val="1"/>
                <c:pt idx="0">
                  <c:v>Jan</c:v>
                </c:pt>
              </c:strCache>
            </c:strRef>
          </c:tx>
          <c:spPr>
            <a:ln w="19050" cap="rnd" cmpd="sng" algn="ctr">
              <a:solidFill>
                <a:schemeClr val="accent5">
                  <a:lumMod val="7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'Business Ojective Analysis'!$B$6:$B$10</c:f>
              <c:strCache>
                <c:ptCount val="4"/>
                <c:pt idx="0">
                  <c:v>East</c:v>
                </c:pt>
                <c:pt idx="1">
                  <c:v>North</c:v>
                </c:pt>
                <c:pt idx="2">
                  <c:v>South</c:v>
                </c:pt>
                <c:pt idx="3">
                  <c:v>West</c:v>
                </c:pt>
              </c:strCache>
            </c:strRef>
          </c:cat>
          <c:val>
            <c:numRef>
              <c:f>'Business Ojective Analysis'!$C$6:$C$10</c:f>
              <c:numCache>
                <c:formatCode>\$#,##0;\(\$#,##0\);\$#,##0</c:formatCode>
                <c:ptCount val="4"/>
                <c:pt idx="0">
                  <c:v>1535.89</c:v>
                </c:pt>
                <c:pt idx="1">
                  <c:v>3464.7899999999995</c:v>
                </c:pt>
                <c:pt idx="2">
                  <c:v>3978.7999999999997</c:v>
                </c:pt>
                <c:pt idx="3">
                  <c:v>3344.8100000000004</c:v>
                </c:pt>
              </c:numCache>
            </c:numRef>
          </c:val>
          <c:smooth val="0"/>
          <c:extLst>
            <c:ext xmlns:c16="http://schemas.microsoft.com/office/drawing/2014/chart" uri="{C3380CC4-5D6E-409C-BE32-E72D297353CC}">
              <c16:uniqueId val="{00000000-1E12-4977-8D3C-98B4533872EB}"/>
            </c:ext>
          </c:extLst>
        </c:ser>
        <c:ser>
          <c:idx val="1"/>
          <c:order val="1"/>
          <c:tx>
            <c:strRef>
              <c:f>'Business Ojective Analysis'!$D$3:$D$5</c:f>
              <c:strCache>
                <c:ptCount val="1"/>
                <c:pt idx="0">
                  <c:v>Feb</c:v>
                </c:pt>
              </c:strCache>
            </c:strRef>
          </c:tx>
          <c:spPr>
            <a:ln w="19050" cap="rnd" cmpd="sng" algn="ctr">
              <a:solidFill>
                <a:schemeClr val="accent5">
                  <a:lumMod val="75000"/>
                </a:schemeClr>
              </a:solidFill>
              <a:round/>
            </a:ln>
            <a:effectLst/>
          </c:spPr>
          <c:marker>
            <c:symbol val="circle"/>
            <c:size val="17"/>
            <c:spPr>
              <a:solidFill>
                <a:sysClr val="window" lastClr="FFFFFF"/>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'Business Ojective Analysis'!$B$6:$B$10</c:f>
              <c:strCache>
                <c:ptCount val="4"/>
                <c:pt idx="0">
                  <c:v>East</c:v>
                </c:pt>
                <c:pt idx="1">
                  <c:v>North</c:v>
                </c:pt>
                <c:pt idx="2">
                  <c:v>South</c:v>
                </c:pt>
                <c:pt idx="3">
                  <c:v>West</c:v>
                </c:pt>
              </c:strCache>
            </c:strRef>
          </c:cat>
          <c:val>
            <c:numRef>
              <c:f>'Business Ojective Analysis'!$D$6:$D$10</c:f>
              <c:numCache>
                <c:formatCode>\$#,##0;\(\$#,##0\);\$#,##0</c:formatCode>
                <c:ptCount val="4"/>
                <c:pt idx="0">
                  <c:v>3998.75</c:v>
                </c:pt>
                <c:pt idx="1">
                  <c:v>3463.2999999999993</c:v>
                </c:pt>
                <c:pt idx="2">
                  <c:v>2800.3</c:v>
                </c:pt>
                <c:pt idx="3">
                  <c:v>3871.83</c:v>
                </c:pt>
              </c:numCache>
            </c:numRef>
          </c:val>
          <c:smooth val="0"/>
          <c:extLst>
            <c:ext xmlns:c16="http://schemas.microsoft.com/office/drawing/2014/chart" uri="{C3380CC4-5D6E-409C-BE32-E72D297353CC}">
              <c16:uniqueId val="{00000001-1E12-4977-8D3C-98B4533872EB}"/>
            </c:ext>
          </c:extLst>
        </c:ser>
        <c:ser>
          <c:idx val="2"/>
          <c:order val="2"/>
          <c:tx>
            <c:strRef>
              <c:f>'Business Ojective Analysis'!$E$3:$E$5</c:f>
              <c:strCache>
                <c:ptCount val="1"/>
                <c:pt idx="0">
                  <c:v>Mar</c:v>
                </c:pt>
              </c:strCache>
            </c:strRef>
          </c:tx>
          <c:spPr>
            <a:ln w="19050" cap="rnd" cmpd="sng" algn="ctr">
              <a:solidFill>
                <a:schemeClr val="accent5">
                  <a:lumMod val="75000"/>
                </a:schemeClr>
              </a:solidFill>
              <a:round/>
            </a:ln>
            <a:effectLst/>
          </c:spPr>
          <c:marker>
            <c:symbol val="circle"/>
            <c:size val="17"/>
            <c:spPr>
              <a:solidFill>
                <a:schemeClr val="lt1"/>
              </a:solidFill>
              <a:ln>
                <a:no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'Business Ojective Analysis'!$B$6:$B$10</c:f>
              <c:strCache>
                <c:ptCount val="4"/>
                <c:pt idx="0">
                  <c:v>East</c:v>
                </c:pt>
                <c:pt idx="1">
                  <c:v>North</c:v>
                </c:pt>
                <c:pt idx="2">
                  <c:v>South</c:v>
                </c:pt>
                <c:pt idx="3">
                  <c:v>West</c:v>
                </c:pt>
              </c:strCache>
            </c:strRef>
          </c:cat>
          <c:val>
            <c:numRef>
              <c:f>'Business Ojective Analysis'!$E$6:$E$10</c:f>
              <c:numCache>
                <c:formatCode>\$#,##0;\(\$#,##0\);\$#,##0</c:formatCode>
                <c:ptCount val="4"/>
                <c:pt idx="0">
                  <c:v>91.49</c:v>
                </c:pt>
                <c:pt idx="1">
                  <c:v>0</c:v>
                </c:pt>
                <c:pt idx="2">
                  <c:v>599.97</c:v>
                </c:pt>
                <c:pt idx="3">
                  <c:v>39.979999999999997</c:v>
                </c:pt>
              </c:numCache>
            </c:numRef>
          </c:val>
          <c:smooth val="0"/>
          <c:extLst>
            <c:ext xmlns:c16="http://schemas.microsoft.com/office/drawing/2014/chart" uri="{C3380CC4-5D6E-409C-BE32-E72D297353CC}">
              <c16:uniqueId val="{00000002-1E12-4977-8D3C-98B4533872EB}"/>
            </c:ext>
          </c:extLst>
        </c:ser>
        <c:dLbls>
          <c:dLblPos val="ctr"/>
          <c:showLegendKey val="0"/>
          <c:showVal val="1"/>
          <c:showCatName val="0"/>
          <c:showSerName val="0"/>
          <c:showPercent val="0"/>
          <c:showBubbleSize val="0"/>
        </c:dLbls>
        <c:marker val="1"/>
        <c:smooth val="0"/>
        <c:axId val="1350107503"/>
        <c:axId val="1350106063"/>
      </c:lineChart>
      <c:catAx>
        <c:axId val="135010750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50106063"/>
        <c:crosses val="autoZero"/>
        <c:auto val="1"/>
        <c:lblAlgn val="ctr"/>
        <c:lblOffset val="100"/>
        <c:noMultiLvlLbl val="0"/>
      </c:catAx>
      <c:valAx>
        <c:axId val="1350106063"/>
        <c:scaling>
          <c:orientation val="minMax"/>
        </c:scaling>
        <c:delete val="1"/>
        <c:axPos val="l"/>
        <c:numFmt formatCode="\$#,##0;\(\$#,##0\);\$#,##0" sourceLinked="1"/>
        <c:majorTickMark val="none"/>
        <c:minorTickMark val="none"/>
        <c:tickLblPos val="nextTo"/>
        <c:crossAx val="1350107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Project.xlsx]Business Ojective 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REVENUE</a:t>
            </a:r>
            <a:r>
              <a:rPr lang="en-US" b="1" baseline="0">
                <a:latin typeface="Times New Roman" panose="02020603050405020304" pitchFamily="18" charset="0"/>
                <a:cs typeface="Times New Roman" panose="02020603050405020304" pitchFamily="18" charset="0"/>
              </a:rPr>
              <a:t> BY CATEGORY</a:t>
            </a:r>
            <a:endParaRPr lang="en-US" b="1">
              <a:latin typeface="Times New Roman" panose="02020603050405020304" pitchFamily="18" charset="0"/>
              <a:cs typeface="Times New Roman" panose="02020603050405020304" pitchFamily="18"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'Business Ojective Analysis'!$C$18</c:f>
              <c:strCache>
                <c:ptCount val="1"/>
                <c:pt idx="0">
                  <c:v>Sum of Qty_Order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Ojective Analysis'!$B$19:$B$26</c:f>
              <c:strCache>
                <c:ptCount val="7"/>
                <c:pt idx="0">
                  <c:v>Accessories</c:v>
                </c:pt>
                <c:pt idx="1">
                  <c:v>Audio</c:v>
                </c:pt>
                <c:pt idx="2">
                  <c:v>Computers</c:v>
                </c:pt>
                <c:pt idx="3">
                  <c:v>Electronics</c:v>
                </c:pt>
                <c:pt idx="4">
                  <c:v>Furniture</c:v>
                </c:pt>
                <c:pt idx="5">
                  <c:v>Office</c:v>
                </c:pt>
                <c:pt idx="6">
                  <c:v>Office Supplies</c:v>
                </c:pt>
              </c:strCache>
            </c:strRef>
          </c:cat>
          <c:val>
            <c:numRef>
              <c:f>'Business Ojective Analysis'!$C$19:$C$26</c:f>
              <c:numCache>
                <c:formatCode>General</c:formatCode>
                <c:ptCount val="7"/>
                <c:pt idx="0">
                  <c:v>37</c:v>
                </c:pt>
                <c:pt idx="1">
                  <c:v>75</c:v>
                </c:pt>
                <c:pt idx="2">
                  <c:v>53</c:v>
                </c:pt>
                <c:pt idx="3">
                  <c:v>68</c:v>
                </c:pt>
                <c:pt idx="4">
                  <c:v>32</c:v>
                </c:pt>
                <c:pt idx="5">
                  <c:v>6</c:v>
                </c:pt>
                <c:pt idx="6">
                  <c:v>61</c:v>
                </c:pt>
              </c:numCache>
            </c:numRef>
          </c:val>
          <c:extLst>
            <c:ext xmlns:c16="http://schemas.microsoft.com/office/drawing/2014/chart" uri="{C3380CC4-5D6E-409C-BE32-E72D297353CC}">
              <c16:uniqueId val="{00000003-EBAE-4CAB-B63F-A195DFD575B5}"/>
            </c:ext>
          </c:extLst>
        </c:ser>
        <c:ser>
          <c:idx val="1"/>
          <c:order val="1"/>
          <c:tx>
            <c:strRef>
              <c:f>'Business Ojective Analysis'!$D$18</c:f>
              <c:strCache>
                <c:ptCount val="1"/>
                <c:pt idx="0">
                  <c:v>Total Revenue</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Ojective Analysis'!$B$19:$B$26</c:f>
              <c:strCache>
                <c:ptCount val="7"/>
                <c:pt idx="0">
                  <c:v>Accessories</c:v>
                </c:pt>
                <c:pt idx="1">
                  <c:v>Audio</c:v>
                </c:pt>
                <c:pt idx="2">
                  <c:v>Computers</c:v>
                </c:pt>
                <c:pt idx="3">
                  <c:v>Electronics</c:v>
                </c:pt>
                <c:pt idx="4">
                  <c:v>Furniture</c:v>
                </c:pt>
                <c:pt idx="5">
                  <c:v>Office</c:v>
                </c:pt>
                <c:pt idx="6">
                  <c:v>Office Supplies</c:v>
                </c:pt>
              </c:strCache>
            </c:strRef>
          </c:cat>
          <c:val>
            <c:numRef>
              <c:f>'Business Ojective Analysis'!$D$19:$D$26</c:f>
              <c:numCache>
                <c:formatCode>\$#,##0;\(\$#,##0\);\$#,##0</c:formatCode>
                <c:ptCount val="7"/>
                <c:pt idx="0">
                  <c:v>871.63000000000022</c:v>
                </c:pt>
                <c:pt idx="1">
                  <c:v>6407</c:v>
                </c:pt>
                <c:pt idx="2">
                  <c:v>7299.4699999999984</c:v>
                </c:pt>
                <c:pt idx="3">
                  <c:v>2976.6899999999996</c:v>
                </c:pt>
                <c:pt idx="4">
                  <c:v>7999.68</c:v>
                </c:pt>
                <c:pt idx="5">
                  <c:v>119.94</c:v>
                </c:pt>
                <c:pt idx="6">
                  <c:v>1515.5</c:v>
                </c:pt>
              </c:numCache>
            </c:numRef>
          </c:val>
          <c:extLst>
            <c:ext xmlns:c16="http://schemas.microsoft.com/office/drawing/2014/chart" uri="{C3380CC4-5D6E-409C-BE32-E72D297353CC}">
              <c16:uniqueId val="{00000005-EBAE-4CAB-B63F-A195DFD575B5}"/>
            </c:ext>
          </c:extLst>
        </c:ser>
        <c:dLbls>
          <c:dLblPos val="outEnd"/>
          <c:showLegendKey val="0"/>
          <c:showVal val="1"/>
          <c:showCatName val="0"/>
          <c:showSerName val="0"/>
          <c:showPercent val="0"/>
          <c:showBubbleSize val="0"/>
        </c:dLbls>
        <c:gapWidth val="182"/>
        <c:axId val="1351709759"/>
        <c:axId val="1351709279"/>
      </c:barChart>
      <c:catAx>
        <c:axId val="1351709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51709279"/>
        <c:crosses val="autoZero"/>
        <c:auto val="1"/>
        <c:lblAlgn val="ctr"/>
        <c:lblOffset val="100"/>
        <c:noMultiLvlLbl val="0"/>
      </c:catAx>
      <c:valAx>
        <c:axId val="1351709279"/>
        <c:scaling>
          <c:orientation val="minMax"/>
        </c:scaling>
        <c:delete val="1"/>
        <c:axPos val="b"/>
        <c:numFmt formatCode="General" sourceLinked="1"/>
        <c:majorTickMark val="none"/>
        <c:minorTickMark val="none"/>
        <c:tickLblPos val="nextTo"/>
        <c:crossAx val="1351709759"/>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Project.xlsx]Business Ojective 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REVENUE</a:t>
            </a:r>
            <a:r>
              <a:rPr lang="en-US" b="1" baseline="0">
                <a:latin typeface="Times New Roman" panose="02020603050405020304" pitchFamily="18" charset="0"/>
                <a:cs typeface="Times New Roman" panose="02020603050405020304" pitchFamily="18" charset="0"/>
              </a:rPr>
              <a:t> BY CUSTOMER</a:t>
            </a:r>
            <a:endParaRPr lang="en-US" b="1">
              <a:latin typeface="Times New Roman" panose="02020603050405020304" pitchFamily="18" charset="0"/>
              <a:cs typeface="Times New Roman" panose="02020603050405020304" pitchFamily="18"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 Ojective Analysis'!$C$29</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Ojective Analysis'!$B$30:$B$40</c:f>
              <c:strCache>
                <c:ptCount val="10"/>
                <c:pt idx="0">
                  <c:v>Jane Smith</c:v>
                </c:pt>
                <c:pt idx="1">
                  <c:v>Frank Black</c:v>
                </c:pt>
                <c:pt idx="2">
                  <c:v>Alice Brown</c:v>
                </c:pt>
                <c:pt idx="3">
                  <c:v>Bob Johnson</c:v>
                </c:pt>
                <c:pt idx="4">
                  <c:v>Emily White</c:v>
                </c:pt>
                <c:pt idx="5">
                  <c:v>Grace Summary</c:v>
                </c:pt>
                <c:pt idx="6">
                  <c:v>John Doe</c:v>
                </c:pt>
                <c:pt idx="7">
                  <c:v>Charlie Green</c:v>
                </c:pt>
                <c:pt idx="8">
                  <c:v>Henry Ford</c:v>
                </c:pt>
                <c:pt idx="9">
                  <c:v>Ivy League</c:v>
                </c:pt>
              </c:strCache>
            </c:strRef>
          </c:cat>
          <c:val>
            <c:numRef>
              <c:f>'Business Ojective Analysis'!$C$30:$C$40</c:f>
              <c:numCache>
                <c:formatCode>\$#,##0;\(\$#,##0\);\$#,##0</c:formatCode>
                <c:ptCount val="10"/>
                <c:pt idx="0">
                  <c:v>4740.6999999999989</c:v>
                </c:pt>
                <c:pt idx="1">
                  <c:v>3916.7899999999995</c:v>
                </c:pt>
                <c:pt idx="2">
                  <c:v>3485.84</c:v>
                </c:pt>
                <c:pt idx="3">
                  <c:v>3022.29</c:v>
                </c:pt>
                <c:pt idx="4">
                  <c:v>2927.37</c:v>
                </c:pt>
                <c:pt idx="5">
                  <c:v>2918.84</c:v>
                </c:pt>
                <c:pt idx="6">
                  <c:v>1836.4</c:v>
                </c:pt>
                <c:pt idx="7">
                  <c:v>1180.46</c:v>
                </c:pt>
                <c:pt idx="8">
                  <c:v>1113.42</c:v>
                </c:pt>
                <c:pt idx="9">
                  <c:v>914.39</c:v>
                </c:pt>
              </c:numCache>
            </c:numRef>
          </c:val>
          <c:extLst>
            <c:ext xmlns:c16="http://schemas.microsoft.com/office/drawing/2014/chart" uri="{C3380CC4-5D6E-409C-BE32-E72D297353CC}">
              <c16:uniqueId val="{00000002-F814-4030-B00D-6472B27825EE}"/>
            </c:ext>
          </c:extLst>
        </c:ser>
        <c:dLbls>
          <c:dLblPos val="outEnd"/>
          <c:showLegendKey val="0"/>
          <c:showVal val="1"/>
          <c:showCatName val="0"/>
          <c:showSerName val="0"/>
          <c:showPercent val="0"/>
          <c:showBubbleSize val="0"/>
        </c:dLbls>
        <c:gapWidth val="219"/>
        <c:overlap val="-27"/>
        <c:axId val="2069110431"/>
        <c:axId val="2069110911"/>
      </c:barChart>
      <c:catAx>
        <c:axId val="206911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69110911"/>
        <c:crosses val="autoZero"/>
        <c:auto val="1"/>
        <c:lblAlgn val="ctr"/>
        <c:lblOffset val="100"/>
        <c:noMultiLvlLbl val="0"/>
      </c:catAx>
      <c:valAx>
        <c:axId val="2069110911"/>
        <c:scaling>
          <c:orientation val="minMax"/>
        </c:scaling>
        <c:delete val="1"/>
        <c:axPos val="l"/>
        <c:numFmt formatCode="\$#,##0;\(\$#,##0\);\$#,##0" sourceLinked="1"/>
        <c:majorTickMark val="none"/>
        <c:minorTickMark val="none"/>
        <c:tickLblPos val="nextTo"/>
        <c:crossAx val="2069110431"/>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88900</xdr:colOff>
      <xdr:row>0</xdr:row>
      <xdr:rowOff>79375</xdr:rowOff>
    </xdr:from>
    <xdr:to>
      <xdr:col>12</xdr:col>
      <xdr:colOff>412750</xdr:colOff>
      <xdr:row>11</xdr:row>
      <xdr:rowOff>171450</xdr:rowOff>
    </xdr:to>
    <xdr:graphicFrame macro="">
      <xdr:nvGraphicFramePr>
        <xdr:cNvPr id="2" name="Chart 1">
          <a:extLst>
            <a:ext uri="{FF2B5EF4-FFF2-40B4-BE49-F238E27FC236}">
              <a16:creationId xmlns:a16="http://schemas.microsoft.com/office/drawing/2014/main" id="{A8132B70-E530-5758-F9E3-1956E3F14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152400</xdr:colOff>
      <xdr:row>15</xdr:row>
      <xdr:rowOff>165100</xdr:rowOff>
    </xdr:from>
    <xdr:to>
      <xdr:col>11</xdr:col>
      <xdr:colOff>590550</xdr:colOff>
      <xdr:row>26</xdr:row>
      <xdr:rowOff>146050</xdr:rowOff>
    </xdr:to>
    <xdr:graphicFrame macro="">
      <xdr:nvGraphicFramePr>
        <xdr:cNvPr id="3" name="Chart 2">
          <a:extLst>
            <a:ext uri="{FF2B5EF4-FFF2-40B4-BE49-F238E27FC236}">
              <a16:creationId xmlns:a16="http://schemas.microsoft.com/office/drawing/2014/main" id="{11954764-04D8-7742-89A7-287E507EE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114300</xdr:colOff>
      <xdr:row>27</xdr:row>
      <xdr:rowOff>158750</xdr:rowOff>
    </xdr:from>
    <xdr:to>
      <xdr:col>11</xdr:col>
      <xdr:colOff>419100</xdr:colOff>
      <xdr:row>40</xdr:row>
      <xdr:rowOff>165100</xdr:rowOff>
    </xdr:to>
    <xdr:graphicFrame macro="">
      <xdr:nvGraphicFramePr>
        <xdr:cNvPr id="5" name="Chart 4">
          <a:extLst>
            <a:ext uri="{FF2B5EF4-FFF2-40B4-BE49-F238E27FC236}">
              <a16:creationId xmlns:a16="http://schemas.microsoft.com/office/drawing/2014/main" id="{7E5215FA-54BA-31DD-0A08-F68DE5695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285750</xdr:colOff>
      <xdr:row>7</xdr:row>
      <xdr:rowOff>95250</xdr:rowOff>
    </xdr:to>
    <xdr:sp macro="" textlink="">
      <xdr:nvSpPr>
        <xdr:cNvPr id="4" name="Rectangle 3">
          <a:extLst>
            <a:ext uri="{FF2B5EF4-FFF2-40B4-BE49-F238E27FC236}">
              <a16:creationId xmlns:a16="http://schemas.microsoft.com/office/drawing/2014/main" id="{41B6CE1D-A574-3EC7-5F97-B8D6AA8ABFC2}"/>
            </a:ext>
          </a:extLst>
        </xdr:cNvPr>
        <xdr:cNvSpPr/>
      </xdr:nvSpPr>
      <xdr:spPr>
        <a:xfrm>
          <a:off x="0" y="0"/>
          <a:ext cx="1504950" cy="1384300"/>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7</xdr:row>
      <xdr:rowOff>88900</xdr:rowOff>
    </xdr:from>
    <xdr:to>
      <xdr:col>2</xdr:col>
      <xdr:colOff>292100</xdr:colOff>
      <xdr:row>14</xdr:row>
      <xdr:rowOff>177800</xdr:rowOff>
    </xdr:to>
    <xdr:sp macro="" textlink="">
      <xdr:nvSpPr>
        <xdr:cNvPr id="5" name="Rectangle 4">
          <a:extLst>
            <a:ext uri="{FF2B5EF4-FFF2-40B4-BE49-F238E27FC236}">
              <a16:creationId xmlns:a16="http://schemas.microsoft.com/office/drawing/2014/main" id="{B95F17C3-3E36-4389-B2A1-E16F13ABFF04}"/>
            </a:ext>
          </a:extLst>
        </xdr:cNvPr>
        <xdr:cNvSpPr/>
      </xdr:nvSpPr>
      <xdr:spPr>
        <a:xfrm>
          <a:off x="0" y="1377950"/>
          <a:ext cx="1511300" cy="1377950"/>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25400</xdr:colOff>
      <xdr:row>15</xdr:row>
      <xdr:rowOff>82550</xdr:rowOff>
    </xdr:from>
    <xdr:to>
      <xdr:col>20</xdr:col>
      <xdr:colOff>171450</xdr:colOff>
      <xdr:row>27</xdr:row>
      <xdr:rowOff>31750</xdr:rowOff>
    </xdr:to>
    <xdr:graphicFrame macro="">
      <xdr:nvGraphicFramePr>
        <xdr:cNvPr id="7" name="Chart 6">
          <a:extLst>
            <a:ext uri="{FF2B5EF4-FFF2-40B4-BE49-F238E27FC236}">
              <a16:creationId xmlns:a16="http://schemas.microsoft.com/office/drawing/2014/main" id="{2DB2AF47-53B2-47AE-83E9-47A89B90A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292100</xdr:colOff>
      <xdr:row>0</xdr:row>
      <xdr:rowOff>0</xdr:rowOff>
    </xdr:from>
    <xdr:to>
      <xdr:col>13</xdr:col>
      <xdr:colOff>279400</xdr:colOff>
      <xdr:row>1</xdr:row>
      <xdr:rowOff>152400</xdr:rowOff>
    </xdr:to>
    <xdr:sp macro="" textlink="">
      <xdr:nvSpPr>
        <xdr:cNvPr id="8" name="Rectangle 7">
          <a:extLst>
            <a:ext uri="{FF2B5EF4-FFF2-40B4-BE49-F238E27FC236}">
              <a16:creationId xmlns:a16="http://schemas.microsoft.com/office/drawing/2014/main" id="{3E370800-FAA9-4E95-88E6-2AE83B70CF06}"/>
            </a:ext>
          </a:extLst>
        </xdr:cNvPr>
        <xdr:cNvSpPr/>
      </xdr:nvSpPr>
      <xdr:spPr>
        <a:xfrm>
          <a:off x="1511300" y="0"/>
          <a:ext cx="6692900" cy="336550"/>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15</xdr:row>
      <xdr:rowOff>76200</xdr:rowOff>
    </xdr:from>
    <xdr:to>
      <xdr:col>9</xdr:col>
      <xdr:colOff>444500</xdr:colOff>
      <xdr:row>27</xdr:row>
      <xdr:rowOff>165100</xdr:rowOff>
    </xdr:to>
    <xdr:graphicFrame macro="">
      <xdr:nvGraphicFramePr>
        <xdr:cNvPr id="9" name="Chart 8">
          <a:extLst>
            <a:ext uri="{FF2B5EF4-FFF2-40B4-BE49-F238E27FC236}">
              <a16:creationId xmlns:a16="http://schemas.microsoft.com/office/drawing/2014/main" id="{B4258095-602D-4396-AD01-B37208ADCD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311150</xdr:colOff>
      <xdr:row>1</xdr:row>
      <xdr:rowOff>152400</xdr:rowOff>
    </xdr:from>
    <xdr:to>
      <xdr:col>19</xdr:col>
      <xdr:colOff>101600</xdr:colOff>
      <xdr:row>14</xdr:row>
      <xdr:rowOff>158750</xdr:rowOff>
    </xdr:to>
    <xdr:graphicFrame macro="">
      <xdr:nvGraphicFramePr>
        <xdr:cNvPr id="10" name="Chart 9">
          <a:extLst>
            <a:ext uri="{FF2B5EF4-FFF2-40B4-BE49-F238E27FC236}">
              <a16:creationId xmlns:a16="http://schemas.microsoft.com/office/drawing/2014/main" id="{C0ABBFF9-7AFB-4B1F-A943-6FA9E5A13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165100</xdr:colOff>
      <xdr:row>3</xdr:row>
      <xdr:rowOff>12700</xdr:rowOff>
    </xdr:from>
    <xdr:ext cx="1111250" cy="336550"/>
    <xdr:sp macro="" textlink="'Business Ojective Analysis'!C47">
      <xdr:nvSpPr>
        <xdr:cNvPr id="12" name="TextBox 11">
          <a:extLst>
            <a:ext uri="{FF2B5EF4-FFF2-40B4-BE49-F238E27FC236}">
              <a16:creationId xmlns:a16="http://schemas.microsoft.com/office/drawing/2014/main" id="{C6FB0629-E01C-AE4C-79D6-1688B66C9F02}"/>
            </a:ext>
          </a:extLst>
        </xdr:cNvPr>
        <xdr:cNvSpPr txBox="1"/>
      </xdr:nvSpPr>
      <xdr:spPr>
        <a:xfrm>
          <a:off x="165100" y="565150"/>
          <a:ext cx="1111250" cy="3365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4C172A5-38EA-4532-92A6-74EF93291090}"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t> $27,189.91 </a:t>
          </a:fld>
          <a:endParaRPr lang="en-US" sz="14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0</xdr:col>
      <xdr:colOff>400050</xdr:colOff>
      <xdr:row>11</xdr:row>
      <xdr:rowOff>44450</xdr:rowOff>
    </xdr:from>
    <xdr:ext cx="1143000" cy="336550"/>
    <xdr:sp macro="" textlink="'Business Ojective Analysis'!C51">
      <xdr:nvSpPr>
        <xdr:cNvPr id="13" name="TextBox 12">
          <a:extLst>
            <a:ext uri="{FF2B5EF4-FFF2-40B4-BE49-F238E27FC236}">
              <a16:creationId xmlns:a16="http://schemas.microsoft.com/office/drawing/2014/main" id="{A6F9DDD9-F914-4B71-811B-6FC90A5C9F32}"/>
            </a:ext>
          </a:extLst>
        </xdr:cNvPr>
        <xdr:cNvSpPr txBox="1"/>
      </xdr:nvSpPr>
      <xdr:spPr>
        <a:xfrm>
          <a:off x="400050" y="2070100"/>
          <a:ext cx="1143000" cy="3365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19C3A0C-55D6-43DE-A222-3A24B6065313}"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t>359</a:t>
          </a:fld>
          <a:endParaRPr lang="en-US" sz="14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2</xdr:col>
      <xdr:colOff>260350</xdr:colOff>
      <xdr:row>0</xdr:row>
      <xdr:rowOff>0</xdr:rowOff>
    </xdr:from>
    <xdr:ext cx="4457700" cy="336550"/>
    <xdr:sp macro="" textlink="">
      <xdr:nvSpPr>
        <xdr:cNvPr id="14" name="TextBox 13">
          <a:extLst>
            <a:ext uri="{FF2B5EF4-FFF2-40B4-BE49-F238E27FC236}">
              <a16:creationId xmlns:a16="http://schemas.microsoft.com/office/drawing/2014/main" id="{A8A9B2E2-9BD9-4651-AA16-8046697C887A}"/>
            </a:ext>
          </a:extLst>
        </xdr:cNvPr>
        <xdr:cNvSpPr txBox="1"/>
      </xdr:nvSpPr>
      <xdr:spPr>
        <a:xfrm>
          <a:off x="1479550" y="0"/>
          <a:ext cx="4457700" cy="3365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i="0" u="none" strike="noStrike" baseline="0">
              <a:solidFill>
                <a:schemeClr val="bg1"/>
              </a:solidFill>
              <a:latin typeface="Times New Roman" panose="02020603050405020304" pitchFamily="18" charset="0"/>
              <a:ea typeface="Calibri"/>
              <a:cs typeface="Times New Roman" panose="02020603050405020304" pitchFamily="18" charset="0"/>
            </a:rPr>
            <a:t>RETAIL SALES PERFORMANCE ANALYSIS</a:t>
          </a:r>
          <a:r>
            <a:rPr lang="en-US" sz="1600" b="1" i="0" u="none" strike="noStrike">
              <a:solidFill>
                <a:schemeClr val="bg1"/>
              </a:solidFill>
              <a:latin typeface="Times New Roman" panose="02020603050405020304" pitchFamily="18" charset="0"/>
              <a:ea typeface="Calibri"/>
              <a:cs typeface="Times New Roman" panose="02020603050405020304" pitchFamily="18" charset="0"/>
            </a:rPr>
            <a:t> </a:t>
          </a:r>
        </a:p>
      </xdr:txBody>
    </xdr:sp>
    <xdr:clientData/>
  </xdr:oneCellAnchor>
  <xdr:oneCellAnchor>
    <xdr:from>
      <xdr:col>0</xdr:col>
      <xdr:colOff>25400</xdr:colOff>
      <xdr:row>9</xdr:row>
      <xdr:rowOff>177800</xdr:rowOff>
    </xdr:from>
    <xdr:ext cx="1441450" cy="336550"/>
    <xdr:sp macro="" textlink="'Business Ojective Analysis'!C51">
      <xdr:nvSpPr>
        <xdr:cNvPr id="24" name="TextBox 23">
          <a:extLst>
            <a:ext uri="{FF2B5EF4-FFF2-40B4-BE49-F238E27FC236}">
              <a16:creationId xmlns:a16="http://schemas.microsoft.com/office/drawing/2014/main" id="{8E05513C-AF29-4961-9451-DF74CB09D25E}"/>
            </a:ext>
          </a:extLst>
        </xdr:cNvPr>
        <xdr:cNvSpPr txBox="1"/>
      </xdr:nvSpPr>
      <xdr:spPr>
        <a:xfrm>
          <a:off x="25400" y="1835150"/>
          <a:ext cx="1441450" cy="3365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latin typeface="Times New Roman" panose="02020603050405020304" pitchFamily="18" charset="0"/>
              <a:cs typeface="Times New Roman" panose="02020603050405020304" pitchFamily="18" charset="0"/>
            </a:rPr>
            <a:t>Total</a:t>
          </a:r>
          <a:r>
            <a:rPr lang="en-US" sz="1400" b="1" baseline="0">
              <a:solidFill>
                <a:schemeClr val="bg1"/>
              </a:solidFill>
              <a:latin typeface="Times New Roman" panose="02020603050405020304" pitchFamily="18" charset="0"/>
              <a:cs typeface="Times New Roman" panose="02020603050405020304" pitchFamily="18" charset="0"/>
            </a:rPr>
            <a:t> Qty. Sold</a:t>
          </a:r>
          <a:endParaRPr lang="en-US" sz="14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0</xdr:col>
      <xdr:colOff>76200</xdr:colOff>
      <xdr:row>1</xdr:row>
      <xdr:rowOff>158750</xdr:rowOff>
    </xdr:from>
    <xdr:ext cx="1257300" cy="336550"/>
    <xdr:sp macro="" textlink="'Business Ojective Analysis'!C47">
      <xdr:nvSpPr>
        <xdr:cNvPr id="26" name="TextBox 25">
          <a:extLst>
            <a:ext uri="{FF2B5EF4-FFF2-40B4-BE49-F238E27FC236}">
              <a16:creationId xmlns:a16="http://schemas.microsoft.com/office/drawing/2014/main" id="{25387FAF-0681-4E9F-8774-5B01F0C55E96}"/>
            </a:ext>
          </a:extLst>
        </xdr:cNvPr>
        <xdr:cNvSpPr txBox="1"/>
      </xdr:nvSpPr>
      <xdr:spPr>
        <a:xfrm>
          <a:off x="76200" y="342900"/>
          <a:ext cx="1257300" cy="3365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latin typeface="Times New Roman" panose="02020603050405020304" pitchFamily="18" charset="0"/>
              <a:cs typeface="Times New Roman" panose="02020603050405020304" pitchFamily="18" charset="0"/>
            </a:rPr>
            <a:t>Total Rvenue</a:t>
          </a:r>
        </a:p>
      </xdr:txBody>
    </xdr:sp>
    <xdr:clientData/>
  </xdr:oneCellAnchor>
  <xdr:twoCellAnchor editAs="oneCell">
    <xdr:from>
      <xdr:col>13</xdr:col>
      <xdr:colOff>304800</xdr:colOff>
      <xdr:row>0</xdr:row>
      <xdr:rowOff>12701</xdr:rowOff>
    </xdr:from>
    <xdr:to>
      <xdr:col>19</xdr:col>
      <xdr:colOff>69850</xdr:colOff>
      <xdr:row>3</xdr:row>
      <xdr:rowOff>57150</xdr:rowOff>
    </xdr:to>
    <mc:AlternateContent xmlns:mc="http://schemas.openxmlformats.org/markup-compatibility/2006" xmlns:a14="http://schemas.microsoft.com/office/drawing/2010/main">
      <mc:Choice Requires="a14">
        <xdr:graphicFrame macro="">
          <xdr:nvGraphicFramePr>
            <xdr:cNvPr id="28" name="Sales_Date (Month)">
              <a:extLst>
                <a:ext uri="{FF2B5EF4-FFF2-40B4-BE49-F238E27FC236}">
                  <a16:creationId xmlns:a16="http://schemas.microsoft.com/office/drawing/2014/main" id="{5EF5B324-C743-2739-8153-1F63B1221282}"/>
                </a:ext>
              </a:extLst>
            </xdr:cNvPr>
            <xdr:cNvGraphicFramePr/>
          </xdr:nvGraphicFramePr>
          <xdr:xfrm>
            <a:off x="0" y="0"/>
            <a:ext cx="0" cy="0"/>
          </xdr:xfrm>
          <a:graphic>
            <a:graphicData uri="http://schemas.microsoft.com/office/drawing/2010/slicer">
              <sle:slicer xmlns:sle="http://schemas.microsoft.com/office/drawing/2010/slicer" name="Sales_Date (Month)"/>
            </a:graphicData>
          </a:graphic>
        </xdr:graphicFrame>
      </mc:Choice>
      <mc:Fallback xmlns="">
        <xdr:sp macro="" textlink="">
          <xdr:nvSpPr>
            <xdr:cNvPr id="0" name=""/>
            <xdr:cNvSpPr>
              <a:spLocks noTextEdit="1"/>
            </xdr:cNvSpPr>
          </xdr:nvSpPr>
          <xdr:spPr>
            <a:xfrm>
              <a:off x="8229600" y="12701"/>
              <a:ext cx="3422650" cy="596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WALE" refreshedDate="46287.390457754627" createdVersion="8" refreshedVersion="8" minRefreshableVersion="3" recordCount="0" supportSubquery="1" supportAdvancedDrill="1" xr:uid="{646F669B-F32A-44E9-BC19-EA98732AD52D}">
  <cacheSource type="external" connectionId="1"/>
  <cacheFields count="2">
    <cacheField name="[Customer_Dim].[Customer_Name].[Customer_Name]" caption="Customer_Name" numFmtId="0" hierarchy="1" level="1">
      <sharedItems count="10">
        <s v="Alice Brown"/>
        <s v="Bob Johnson"/>
        <s v="Charlie Green"/>
        <s v="Emily White"/>
        <s v="Frank Black"/>
        <s v="Grace Summary"/>
        <s v="Henry Ford"/>
        <s v="Ivy League"/>
        <s v="Jane Smith"/>
        <s v="John Doe"/>
      </sharedItems>
    </cacheField>
    <cacheField name="[Measures].[Total Revenue]" caption="Total Revenue" numFmtId="0" hierarchy="19" level="32767"/>
  </cacheFields>
  <cacheHierarchies count="28">
    <cacheHierarchy uniqueName="[Customer_Dim].[CustomerID]" caption="CustomerID" attribute="1" defaultMemberUniqueName="[Customer_Dim].[CustomerID].[All]" allUniqueName="[Customer_Dim].[CustomerID].[All]" dimensionUniqueName="[Customer_Dim]" displayFolder="" count="0" memberValueDatatype="130" unbalanced="0"/>
    <cacheHierarchy uniqueName="[Customer_Dim].[Customer_Name]" caption="Customer_Name" attribute="1" defaultMemberUniqueName="[Customer_Dim].[Customer_Name].[All]" allUniqueName="[Customer_Dim].[Customer_Name].[All]" dimensionUniqueName="[Customer_Dim]" displayFolder="" count="2" memberValueDatatype="130" unbalanced="0">
      <fieldsUsage count="2">
        <fieldUsage x="-1"/>
        <fieldUsage x="0"/>
      </fieldsUsage>
    </cacheHierarchy>
    <cacheHierarchy uniqueName="[Customer_Dim].[Email_Address]" caption="Email_Address" attribute="1" defaultMemberUniqueName="[Customer_Dim].[Email_Address].[All]" allUniqueName="[Customer_Dim].[Email_Address].[All]" dimensionUniqueName="[Customer_Dim]" displayFolder="" count="0" memberValueDatatype="130" unbalanced="0"/>
    <cacheHierarchy uniqueName="[Customer_Dim].[Registration_Date]" caption="Registration_Date" attribute="1" time="1" defaultMemberUniqueName="[Customer_Dim].[Registration_Date].[All]" allUniqueName="[Customer_Dim].[Registration_Date].[All]" dimensionUniqueName="[Customer_Dim]" displayFolder="" count="0" memberValueDatatype="7" unbalanced="0"/>
    <cacheHierarchy uniqueName="[Product_Dim].[ProductID]" caption="ProductID" attribute="1" defaultMemberUniqueName="[Product_Dim].[ProductID].[All]" allUniqueName="[Product_Dim].[ProductID].[All]" dimensionUniqueName="[Product_Dim]" displayFolder="" count="0" memberValueDatatype="130" unbalanced="0"/>
    <cacheHierarchy uniqueName="[Product_Dim].[ProductName]" caption="ProductName" attribute="1" defaultMemberUniqueName="[Product_Dim].[ProductName].[All]" allUniqueName="[Product_Dim].[Product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Unit_Price]" caption="Unit_Price" attribute="1" defaultMemberUniqueName="[Product_Dim].[Unit_Price].[All]" allUniqueName="[Product_Dim].[Unit_Price].[All]" dimensionUniqueName="[Product_Dim]" displayFolder="" count="0" memberValueDatatype="5" unbalanced="0"/>
    <cacheHierarchy uniqueName="[Sales_Fact].[TransactionID]" caption="TransactionID" attribute="1" defaultMemberUniqueName="[Sales_Fact].[TransactionID].[All]" allUniqueName="[Sales_Fact].[TransactionID].[All]" dimensionUniqueName="[Sales_Fact]" displayFolder="" count="0" memberValueDatatype="130" unbalanced="0"/>
    <cacheHierarchy uniqueName="[Sales_Fact].[CustomerID]" caption="CustomerID" attribute="1" defaultMemberUniqueName="[Sales_Fact].[CustomerID].[All]" allUniqueName="[Sales_Fact].[CustomerID].[All]" dimensionUniqueName="[Sales_Fact]" displayFolder="" count="0" memberValueDatatype="130" unbalanced="0"/>
    <cacheHierarchy uniqueName="[Sales_Fact].[ProductID]" caption="ProductID" attribute="1" defaultMemberUniqueName="[Sales_Fact].[ProductID].[All]" allUniqueName="[Sales_Fact].[ProductID].[All]" dimensionUniqueName="[Sales_Fact]" displayFolder="" count="0" memberValueDatatype="130" unbalanced="0"/>
    <cacheHierarchy uniqueName="[Sales_Fact].[Sales_Date]" caption="Sales_Date" attribute="1" time="1" defaultMemberUniqueName="[Sales_Fact].[Sales_Date].[All]" allUniqueName="[Sales_Fact].[Sales_Date].[All]" dimensionUniqueName="[Sales_Fact]" displayFolder="" count="0" memberValueDatatype="7" unbalanced="0"/>
    <cacheHierarchy uniqueName="[Sales_Fact].[Qty_Order]" caption="Qty_Order" attribute="1" defaultMemberUniqueName="[Sales_Fact].[Qty_Order].[All]" allUniqueName="[Sales_Fact].[Qty_Order].[All]" dimensionUniqueName="[Sales_Fact]" displayFolder="" count="0" memberValueDatatype="20" unbalanced="0"/>
    <cacheHierarchy uniqueName="[Sales_Fact].[StoreID]" caption="StoreID" attribute="1" defaultMemberUniqueName="[Sales_Fact].[StoreID].[All]" allUniqueName="[Sales_Fact].[StoreID].[All]" dimensionUniqueName="[Sales_Fact]" displayFolder="" count="0" memberValueDatatype="130" unbalanced="0"/>
    <cacheHierarchy uniqueName="[Sales_Fact].[Sales_Date (Month)]" caption="Sales_Date (Month)" attribute="1" defaultMemberUniqueName="[Sales_Fact].[Sales_Date (Month)].[All]" allUniqueName="[Sales_Fact].[Sales_Date (Month)].[All]" dimensionUniqueName="[Sales_Fact]" displayFolder="" count="0" memberValueDatatype="130" unbalanced="0"/>
    <cacheHierarchy uniqueName="[Stores_Dim].[StoreID]" caption="StoreID" attribute="1" defaultMemberUniqueName="[Stores_Dim].[StoreID].[All]" allUniqueName="[Stores_Dim].[StoreID].[All]" dimensionUniqueName="[Stores_Dim]" displayFolder="" count="0" memberValueDatatype="130" unbalanced="0"/>
    <cacheHierarchy uniqueName="[Stores_Dim].[Region]" caption="Region" attribute="1" defaultMemberUniqueName="[Stores_Dim].[Region].[All]" allUniqueName="[Stores_Dim].[Region].[All]" dimensionUniqueName="[Stores_Dim]" displayFolder="" count="0" memberValueDatatype="130" unbalanced="0"/>
    <cacheHierarchy uniqueName="[Stores_Dim].[Store_Manager]" caption="Store_Manager" attribute="1" defaultMemberUniqueName="[Stores_Dim].[Store_Manager].[All]" allUniqueName="[Stores_Dim].[Store_Manager].[All]" dimensionUniqueName="[Stores_Dim]" displayFolder="" count="0" memberValueDatatype="130" unbalanced="0"/>
    <cacheHierarchy uniqueName="[Sales_Fact].[Sales_Date (Month Index)]" caption="Sales_Date (Month Index)" attribute="1" defaultMemberUniqueName="[Sales_Fact].[Sales_Date (Month Index)].[All]" allUniqueName="[Sales_Fact].[Sales_Date (Month Index)].[All]" dimensionUniqueName="[Sales_Fact]" displayFolder="" count="0" memberValueDatatype="20" unbalanced="0" hidden="1"/>
    <cacheHierarchy uniqueName="[Measures].[Total Revenue]" caption="Total Revenue" measure="1" displayFolder="" measureGroup="Sales_Fact" count="0" oneField="1">
      <fieldsUsage count="1">
        <fieldUsage x="1"/>
      </fieldsUsage>
    </cacheHierarchy>
    <cacheHierarchy uniqueName="[Measures].[__XL_Count Table1]" caption="__XL_Count Table1" measure="1" displayFolder="" measureGroup="Sales_Fact" count="0" hidden="1"/>
    <cacheHierarchy uniqueName="[Measures].[__XL_Count Table2]" caption="__XL_Count Table2" measure="1" displayFolder="" measureGroup="Customer_Dim" count="0" hidden="1"/>
    <cacheHierarchy uniqueName="[Measures].[__XL_Count Table3]" caption="__XL_Count Table3" measure="1" displayFolder="" measureGroup="Product_Dim" count="0" hidden="1"/>
    <cacheHierarchy uniqueName="[Measures].[__XL_Count Table4]" caption="__XL_Count Table4" measure="1" displayFolder="" measureGroup="Stores_Dim" count="0" hidden="1"/>
    <cacheHierarchy uniqueName="[Measures].[__No measures defined]" caption="__No measures defined" measure="1" displayFolder="" count="0" hidden="1"/>
    <cacheHierarchy uniqueName="[Measures].[Sum of Qty_Order]" caption="Sum of Qty_Order" measure="1" displayFolder="" measureGroup="Sales_Fact"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6"/>
        </ext>
      </extLst>
    </cacheHierarchy>
    <cacheHierarchy uniqueName="[Measures].[Count of ProductID]" caption="Count of ProductID" measure="1" displayFolder="" measureGroup="Product_Dim" count="0" hidden="1">
      <extLst>
        <ext xmlns:x15="http://schemas.microsoft.com/office/spreadsheetml/2010/11/main" uri="{B97F6D7D-B522-45F9-BDA1-12C45D357490}">
          <x15:cacheHierarchy aggregatedColumn="4"/>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tores_Dim" uniqueName="[Stores_Dim]" caption="Stores_Dim"/>
  </dimensions>
  <measureGroups count="4">
    <measureGroup name="Customer_Dim" caption="Customer_Dim"/>
    <measureGroup name="Product_Dim" caption="Product_Dim"/>
    <measureGroup name="Sales_Fact" caption="Sales_Fact"/>
    <measureGroup name="Stores_Dim" caption="Stores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WALE" refreshedDate="46287.004206944446" createdVersion="8" refreshedVersion="8" minRefreshableVersion="3" recordCount="0" supportSubquery="1" supportAdvancedDrill="1" xr:uid="{505F5DD6-208C-4B81-B0EA-6D5CCDF4EC17}">
  <cacheSource type="external" connectionId="1"/>
  <cacheFields count="3">
    <cacheField name="[Product_Dim].[Category].[Category]" caption="Category" numFmtId="0" hierarchy="6" level="1">
      <sharedItems count="7">
        <s v="Accessories"/>
        <s v="Audio"/>
        <s v="Computers"/>
        <s v="Electronics"/>
        <s v="Furniture"/>
        <s v="Office"/>
        <s v="Office Supplies"/>
      </sharedItems>
    </cacheField>
    <cacheField name="[Measures].[Sum of Qty_Order]" caption="Sum of Qty_Order" numFmtId="0" hierarchy="25" level="32767"/>
    <cacheField name="[Measures].[Total Revenue]" caption="Total Revenue" numFmtId="0" hierarchy="19" level="32767"/>
  </cacheFields>
  <cacheHierarchies count="28">
    <cacheHierarchy uniqueName="[Customer_Dim].[CustomerID]" caption="CustomerID" attribute="1" defaultMemberUniqueName="[Customer_Dim].[CustomerID].[All]" allUniqueName="[Customer_Dim].[CustomerID].[All]" dimensionUniqueName="[Customer_Dim]" displayFolder="" count="0" memberValueDatatype="13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Email_Address]" caption="Email_Address" attribute="1" defaultMemberUniqueName="[Customer_Dim].[Email_Address].[All]" allUniqueName="[Customer_Dim].[Email_Address].[All]" dimensionUniqueName="[Customer_Dim]" displayFolder="" count="0" memberValueDatatype="130" unbalanced="0"/>
    <cacheHierarchy uniqueName="[Customer_Dim].[Registration_Date]" caption="Registration_Date" attribute="1" time="1" defaultMemberUniqueName="[Customer_Dim].[Registration_Date].[All]" allUniqueName="[Customer_Dim].[Registration_Date].[All]" dimensionUniqueName="[Customer_Dim]" displayFolder="" count="0" memberValueDatatype="7" unbalanced="0"/>
    <cacheHierarchy uniqueName="[Product_Dim].[ProductID]" caption="ProductID" attribute="1" defaultMemberUniqueName="[Product_Dim].[ProductID].[All]" allUniqueName="[Product_Dim].[ProductID].[All]" dimensionUniqueName="[Product_Dim]" displayFolder="" count="0" memberValueDatatype="130" unbalanced="0"/>
    <cacheHierarchy uniqueName="[Product_Dim].[ProductName]" caption="ProductName" attribute="1" defaultMemberUniqueName="[Product_Dim].[ProductName].[All]" allUniqueName="[Product_Dim].[Product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0"/>
      </fieldsUsage>
    </cacheHierarchy>
    <cacheHierarchy uniqueName="[Product_Dim].[Unit_Price]" caption="Unit_Price" attribute="1" defaultMemberUniqueName="[Product_Dim].[Unit_Price].[All]" allUniqueName="[Product_Dim].[Unit_Price].[All]" dimensionUniqueName="[Product_Dim]" displayFolder="" count="0" memberValueDatatype="5" unbalanced="0"/>
    <cacheHierarchy uniqueName="[Sales_Fact].[TransactionID]" caption="TransactionID" attribute="1" defaultMemberUniqueName="[Sales_Fact].[TransactionID].[All]" allUniqueName="[Sales_Fact].[TransactionID].[All]" dimensionUniqueName="[Sales_Fact]" displayFolder="" count="0" memberValueDatatype="130" unbalanced="0"/>
    <cacheHierarchy uniqueName="[Sales_Fact].[CustomerID]" caption="CustomerID" attribute="1" defaultMemberUniqueName="[Sales_Fact].[CustomerID].[All]" allUniqueName="[Sales_Fact].[CustomerID].[All]" dimensionUniqueName="[Sales_Fact]" displayFolder="" count="0" memberValueDatatype="130" unbalanced="0"/>
    <cacheHierarchy uniqueName="[Sales_Fact].[ProductID]" caption="ProductID" attribute="1" defaultMemberUniqueName="[Sales_Fact].[ProductID].[All]" allUniqueName="[Sales_Fact].[ProductID].[All]" dimensionUniqueName="[Sales_Fact]" displayFolder="" count="0" memberValueDatatype="130" unbalanced="0"/>
    <cacheHierarchy uniqueName="[Sales_Fact].[Sales_Date]" caption="Sales_Date" attribute="1" time="1" defaultMemberUniqueName="[Sales_Fact].[Sales_Date].[All]" allUniqueName="[Sales_Fact].[Sales_Date].[All]" dimensionUniqueName="[Sales_Fact]" displayFolder="" count="0" memberValueDatatype="7" unbalanced="0"/>
    <cacheHierarchy uniqueName="[Sales_Fact].[Qty_Order]" caption="Qty_Order" attribute="1" defaultMemberUniqueName="[Sales_Fact].[Qty_Order].[All]" allUniqueName="[Sales_Fact].[Qty_Order].[All]" dimensionUniqueName="[Sales_Fact]" displayFolder="" count="0" memberValueDatatype="20" unbalanced="0"/>
    <cacheHierarchy uniqueName="[Sales_Fact].[StoreID]" caption="StoreID" attribute="1" defaultMemberUniqueName="[Sales_Fact].[StoreID].[All]" allUniqueName="[Sales_Fact].[StoreID].[All]" dimensionUniqueName="[Sales_Fact]" displayFolder="" count="0" memberValueDatatype="130" unbalanced="0"/>
    <cacheHierarchy uniqueName="[Sales_Fact].[Sales_Date (Month)]" caption="Sales_Date (Month)" attribute="1" defaultMemberUniqueName="[Sales_Fact].[Sales_Date (Month)].[All]" allUniqueName="[Sales_Fact].[Sales_Date (Month)].[All]" dimensionUniqueName="[Sales_Fact]" displayFolder="" count="0" memberValueDatatype="130" unbalanced="0"/>
    <cacheHierarchy uniqueName="[Stores_Dim].[StoreID]" caption="StoreID" attribute="1" defaultMemberUniqueName="[Stores_Dim].[StoreID].[All]" allUniqueName="[Stores_Dim].[StoreID].[All]" dimensionUniqueName="[Stores_Dim]" displayFolder="" count="0" memberValueDatatype="130" unbalanced="0"/>
    <cacheHierarchy uniqueName="[Stores_Dim].[Region]" caption="Region" attribute="1" defaultMemberUniqueName="[Stores_Dim].[Region].[All]" allUniqueName="[Stores_Dim].[Region].[All]" dimensionUniqueName="[Stores_Dim]" displayFolder="" count="0" memberValueDatatype="130" unbalanced="0"/>
    <cacheHierarchy uniqueName="[Stores_Dim].[Store_Manager]" caption="Store_Manager" attribute="1" defaultMemberUniqueName="[Stores_Dim].[Store_Manager].[All]" allUniqueName="[Stores_Dim].[Store_Manager].[All]" dimensionUniqueName="[Stores_Dim]" displayFolder="" count="0" memberValueDatatype="130" unbalanced="0"/>
    <cacheHierarchy uniqueName="[Sales_Fact].[Sales_Date (Month Index)]" caption="Sales_Date (Month Index)" attribute="1" defaultMemberUniqueName="[Sales_Fact].[Sales_Date (Month Index)].[All]" allUniqueName="[Sales_Fact].[Sales_Date (Month Index)].[All]" dimensionUniqueName="[Sales_Fact]" displayFolder="" count="0" memberValueDatatype="20" unbalanced="0" hidden="1"/>
    <cacheHierarchy uniqueName="[Measures].[Total Revenue]" caption="Total Revenue" measure="1" displayFolder="" measureGroup="Sales_Fact" count="0" oneField="1">
      <fieldsUsage count="1">
        <fieldUsage x="2"/>
      </fieldsUsage>
    </cacheHierarchy>
    <cacheHierarchy uniqueName="[Measures].[__XL_Count Table1]" caption="__XL_Count Table1" measure="1" displayFolder="" measureGroup="Sales_Fact" count="0" hidden="1"/>
    <cacheHierarchy uniqueName="[Measures].[__XL_Count Table2]" caption="__XL_Count Table2" measure="1" displayFolder="" measureGroup="Customer_Dim" count="0" hidden="1"/>
    <cacheHierarchy uniqueName="[Measures].[__XL_Count Table3]" caption="__XL_Count Table3" measure="1" displayFolder="" measureGroup="Product_Dim" count="0" hidden="1"/>
    <cacheHierarchy uniqueName="[Measures].[__XL_Count Table4]" caption="__XL_Count Table4" measure="1" displayFolder="" measureGroup="Stores_Dim" count="0" hidden="1"/>
    <cacheHierarchy uniqueName="[Measures].[__No measures defined]" caption="__No measures defined" measure="1" displayFolder="" count="0" hidden="1"/>
    <cacheHierarchy uniqueName="[Measures].[Sum of Qty_Order]" caption="Sum of Qty_Order" measure="1" displayFolder="" measureGroup="Sales_Fact"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6"/>
        </ext>
      </extLst>
    </cacheHierarchy>
    <cacheHierarchy uniqueName="[Measures].[Count of ProductID]" caption="Count of ProductID" measure="1" displayFolder="" measureGroup="Product_Dim" count="0" hidden="1">
      <extLst>
        <ext xmlns:x15="http://schemas.microsoft.com/office/spreadsheetml/2010/11/main" uri="{B97F6D7D-B522-45F9-BDA1-12C45D357490}">
          <x15:cacheHierarchy aggregatedColumn="4"/>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tores_Dim" uniqueName="[Stores_Dim]" caption="Stores_Dim"/>
  </dimensions>
  <measureGroups count="4">
    <measureGroup name="Customer_Dim" caption="Customer_Dim"/>
    <measureGroup name="Product_Dim" caption="Product_Dim"/>
    <measureGroup name="Sales_Fact" caption="Sales_Fact"/>
    <measureGroup name="Stores_Dim" caption="Stores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WALE" refreshedDate="46287.011498263892" createdVersion="5" refreshedVersion="8" minRefreshableVersion="3" recordCount="0" supportSubquery="1" supportAdvancedDrill="1" xr:uid="{F4D33B49-5A07-4EC5-96D4-63F40F554275}">
  <cacheSource type="external" connectionId="1"/>
  <cacheFields count="4">
    <cacheField name="[Stores_Dim].[Region].[Region]" caption="Region" numFmtId="0" hierarchy="16" level="1">
      <sharedItems count="4">
        <s v="East"/>
        <s v="North"/>
        <s v="South"/>
        <s v="West"/>
      </sharedItems>
    </cacheField>
    <cacheField name="[Sales_Fact].[Sales_Date].[Sales_Date]" caption="Sales_Date" numFmtId="0" hierarchy="11" level="1">
      <sharedItems containsSemiMixedTypes="0" containsNonDate="0" containsDate="1" containsString="0" minDate="2026-01-01T00:00:00" maxDate="2026-03-02T00:00:00" count="54">
        <d v="2026-01-01T00:00:00"/>
        <d v="2026-01-02T00:00:00"/>
        <d v="2026-01-03T00:00:00"/>
        <d v="2026-01-05T00:00:00"/>
        <d v="2026-01-06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10T00:00:00"/>
        <d v="2026-02-13T00:00:00"/>
        <d v="2026-02-14T00:00:00"/>
        <d v="2026-02-15T00:00:00"/>
        <d v="2026-02-16T00:00:00"/>
        <d v="2026-02-17T00:00:00"/>
        <d v="2026-02-18T00:00:00"/>
        <d v="2026-02-19T00:00:00"/>
        <d v="2026-02-20T00:00:00"/>
        <d v="2026-02-22T00:00:00"/>
        <d v="2026-02-23T00:00:00"/>
        <d v="2026-02-24T00:00:00"/>
        <d v="2026-02-25T00:00:00"/>
        <d v="2026-02-26T00:00:00"/>
        <d v="2026-02-27T00:00:00"/>
        <d v="2026-02-28T00:00:00"/>
        <d v="2026-03-01T00:00:00"/>
      </sharedItems>
    </cacheField>
    <cacheField name="[Sales_Fact].[Sales_Date (Month)].[Sales_Date (Month)]" caption="Sales_Date (Month)" numFmtId="0" hierarchy="14" level="1">
      <sharedItems count="3">
        <s v="Jan"/>
        <s v="Feb"/>
        <s v="Mar"/>
      </sharedItems>
    </cacheField>
    <cacheField name="[Measures].[Total Revenue]" caption="Total Revenue" numFmtId="0" hierarchy="19" level="32767"/>
  </cacheFields>
  <cacheHierarchies count="28">
    <cacheHierarchy uniqueName="[Customer_Dim].[CustomerID]" caption="CustomerID" attribute="1" defaultMemberUniqueName="[Customer_Dim].[CustomerID].[All]" allUniqueName="[Customer_Dim].[CustomerID].[All]" dimensionUniqueName="[Customer_Dim]" displayFolder="" count="0" memberValueDatatype="13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Email_Address]" caption="Email_Address" attribute="1" defaultMemberUniqueName="[Customer_Dim].[Email_Address].[All]" allUniqueName="[Customer_Dim].[Email_Address].[All]" dimensionUniqueName="[Customer_Dim]" displayFolder="" count="0" memberValueDatatype="130" unbalanced="0"/>
    <cacheHierarchy uniqueName="[Customer_Dim].[Registration_Date]" caption="Registration_Date" attribute="1" time="1" defaultMemberUniqueName="[Customer_Dim].[Registration_Date].[All]" allUniqueName="[Customer_Dim].[Registration_Date].[All]" dimensionUniqueName="[Customer_Dim]" displayFolder="" count="0" memberValueDatatype="7" unbalanced="0"/>
    <cacheHierarchy uniqueName="[Product_Dim].[ProductID]" caption="ProductID" attribute="1" defaultMemberUniqueName="[Product_Dim].[ProductID].[All]" allUniqueName="[Product_Dim].[ProductID].[All]" dimensionUniqueName="[Product_Dim]" displayFolder="" count="0" memberValueDatatype="130" unbalanced="0"/>
    <cacheHierarchy uniqueName="[Product_Dim].[ProductName]" caption="ProductName" attribute="1" defaultMemberUniqueName="[Product_Dim].[ProductName].[All]" allUniqueName="[Product_Dim].[Product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Unit_Price]" caption="Unit_Price" attribute="1" defaultMemberUniqueName="[Product_Dim].[Unit_Price].[All]" allUniqueName="[Product_Dim].[Unit_Price].[All]" dimensionUniqueName="[Product_Dim]" displayFolder="" count="0" memberValueDatatype="5" unbalanced="0"/>
    <cacheHierarchy uniqueName="[Sales_Fact].[TransactionID]" caption="TransactionID" attribute="1" defaultMemberUniqueName="[Sales_Fact].[TransactionID].[All]" allUniqueName="[Sales_Fact].[TransactionID].[All]" dimensionUniqueName="[Sales_Fact]" displayFolder="" count="0" memberValueDatatype="130" unbalanced="0"/>
    <cacheHierarchy uniqueName="[Sales_Fact].[CustomerID]" caption="CustomerID" attribute="1" defaultMemberUniqueName="[Sales_Fact].[CustomerID].[All]" allUniqueName="[Sales_Fact].[CustomerID].[All]" dimensionUniqueName="[Sales_Fact]" displayFolder="" count="0" memberValueDatatype="130" unbalanced="0"/>
    <cacheHierarchy uniqueName="[Sales_Fact].[ProductID]" caption="ProductID" attribute="1" defaultMemberUniqueName="[Sales_Fact].[ProductID].[All]" allUniqueName="[Sales_Fact].[ProductID].[All]" dimensionUniqueName="[Sales_Fact]" displayFolder="" count="0" memberValueDatatype="130" unbalanced="0"/>
    <cacheHierarchy uniqueName="[Sales_Fact].[Sales_Date]" caption="Sales_Date" attribute="1" time="1" defaultMemberUniqueName="[Sales_Fact].[Sales_Date].[All]" allUniqueName="[Sales_Fact].[Sales_Date].[All]" dimensionUniqueName="[Sales_Fact]" displayFolder="" count="2" memberValueDatatype="7" unbalanced="0">
      <fieldsUsage count="2">
        <fieldUsage x="-1"/>
        <fieldUsage x="1"/>
      </fieldsUsage>
    </cacheHierarchy>
    <cacheHierarchy uniqueName="[Sales_Fact].[Qty_Order]" caption="Qty_Order" attribute="1" defaultMemberUniqueName="[Sales_Fact].[Qty_Order].[All]" allUniqueName="[Sales_Fact].[Qty_Order].[All]" dimensionUniqueName="[Sales_Fact]" displayFolder="" count="0" memberValueDatatype="20" unbalanced="0"/>
    <cacheHierarchy uniqueName="[Sales_Fact].[StoreID]" caption="StoreID" attribute="1" defaultMemberUniqueName="[Sales_Fact].[StoreID].[All]" allUniqueName="[Sales_Fact].[StoreID].[All]" dimensionUniqueName="[Sales_Fact]" displayFolder="" count="0" memberValueDatatype="130" unbalanced="0"/>
    <cacheHierarchy uniqueName="[Sales_Fact].[Sales_Date (Month)]" caption="Sales_Date (Month)" attribute="1" defaultMemberUniqueName="[Sales_Fact].[Sales_Date (Month)].[All]" allUniqueName="[Sales_Fact].[Sales_Date (Month)].[All]" dimensionUniqueName="[Sales_Fact]" displayFolder="" count="2" memberValueDatatype="130" unbalanced="0">
      <fieldsUsage count="2">
        <fieldUsage x="-1"/>
        <fieldUsage x="2"/>
      </fieldsUsage>
    </cacheHierarchy>
    <cacheHierarchy uniqueName="[Stores_Dim].[StoreID]" caption="StoreID" attribute="1" defaultMemberUniqueName="[Stores_Dim].[StoreID].[All]" allUniqueName="[Stores_Dim].[StoreID].[All]" dimensionUniqueName="[Stores_Dim]" displayFolder="" count="0" memberValueDatatype="130" unbalanced="0"/>
    <cacheHierarchy uniqueName="[Stores_Dim].[Region]" caption="Region" attribute="1" defaultMemberUniqueName="[Stores_Dim].[Region].[All]" allUniqueName="[Stores_Dim].[Region].[All]" dimensionUniqueName="[Stores_Dim]" displayFolder="" count="2" memberValueDatatype="130" unbalanced="0">
      <fieldsUsage count="2">
        <fieldUsage x="-1"/>
        <fieldUsage x="0"/>
      </fieldsUsage>
    </cacheHierarchy>
    <cacheHierarchy uniqueName="[Stores_Dim].[Store_Manager]" caption="Store_Manager" attribute="1" defaultMemberUniqueName="[Stores_Dim].[Store_Manager].[All]" allUniqueName="[Stores_Dim].[Store_Manager].[All]" dimensionUniqueName="[Stores_Dim]" displayFolder="" count="0" memberValueDatatype="130" unbalanced="0"/>
    <cacheHierarchy uniqueName="[Sales_Fact].[Sales_Date (Month Index)]" caption="Sales_Date (Month Index)" attribute="1" defaultMemberUniqueName="[Sales_Fact].[Sales_Date (Month Index)].[All]" allUniqueName="[Sales_Fact].[Sales_Date (Month Index)].[All]" dimensionUniqueName="[Sales_Fact]" displayFolder="" count="0" memberValueDatatype="20" unbalanced="0" hidden="1"/>
    <cacheHierarchy uniqueName="[Measures].[Total Revenue]" caption="Total Revenue" measure="1" displayFolder="" measureGroup="Sales_Fact" count="0" oneField="1">
      <fieldsUsage count="1">
        <fieldUsage x="3"/>
      </fieldsUsage>
    </cacheHierarchy>
    <cacheHierarchy uniqueName="[Measures].[__XL_Count Table1]" caption="__XL_Count Table1" measure="1" displayFolder="" measureGroup="Sales_Fact" count="0" hidden="1"/>
    <cacheHierarchy uniqueName="[Measures].[__XL_Count Table2]" caption="__XL_Count Table2" measure="1" displayFolder="" measureGroup="Customer_Dim" count="0" hidden="1"/>
    <cacheHierarchy uniqueName="[Measures].[__XL_Count Table3]" caption="__XL_Count Table3" measure="1" displayFolder="" measureGroup="Product_Dim" count="0" hidden="1"/>
    <cacheHierarchy uniqueName="[Measures].[__XL_Count Table4]" caption="__XL_Count Table4" measure="1" displayFolder="" measureGroup="Stores_Dim" count="0" hidden="1"/>
    <cacheHierarchy uniqueName="[Measures].[__No measures defined]" caption="__No measures defined" measure="1" displayFolder="" count="0" hidden="1"/>
    <cacheHierarchy uniqueName="[Measures].[Sum of Qty_Order]" caption="Sum of Qty_Order" measure="1" displayFolder="" measureGroup="Sales_Fact"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6"/>
        </ext>
      </extLst>
    </cacheHierarchy>
    <cacheHierarchy uniqueName="[Measures].[Count of ProductID]" caption="Count of ProductID" measure="1" displayFolder="" measureGroup="Product_Dim" count="0" hidden="1">
      <extLst>
        <ext xmlns:x15="http://schemas.microsoft.com/office/spreadsheetml/2010/11/main" uri="{B97F6D7D-B522-45F9-BDA1-12C45D357490}">
          <x15:cacheHierarchy aggregatedColumn="4"/>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tores_Dim" uniqueName="[Stores_Dim]" caption="Stores_Dim"/>
  </dimensions>
  <measureGroups count="4">
    <measureGroup name="Customer_Dim" caption="Customer_Dim"/>
    <measureGroup name="Product_Dim" caption="Product_Dim"/>
    <measureGroup name="Sales_Fact" caption="Sales_Fact"/>
    <measureGroup name="Stores_Dim" caption="Stores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WALE" refreshedDate="46287.393807638888" createdVersion="8" refreshedVersion="8" minRefreshableVersion="3" recordCount="0" supportSubquery="1" supportAdvancedDrill="1" xr:uid="{CFC9CB28-F42A-4253-9103-258CA3A7BCF3}">
  <cacheSource type="external" connectionId="1"/>
  <cacheFields count="2">
    <cacheField name="[Product_Dim].[Category].[Category]" caption="Category" numFmtId="0" hierarchy="6" level="1">
      <sharedItems count="7">
        <s v="Accessories"/>
        <s v="Audio"/>
        <s v="Computers"/>
        <s v="Electronics"/>
        <s v="Furniture"/>
        <s v="Office"/>
        <s v="Office Supplies"/>
      </sharedItems>
    </cacheField>
    <cacheField name="[Measures].[Sum of Qty_Order]" caption="Sum of Qty_Order" numFmtId="0" hierarchy="25" level="32767"/>
  </cacheFields>
  <cacheHierarchies count="28">
    <cacheHierarchy uniqueName="[Customer_Dim].[CustomerID]" caption="CustomerID" attribute="1" defaultMemberUniqueName="[Customer_Dim].[CustomerID].[All]" allUniqueName="[Customer_Dim].[CustomerID].[All]" dimensionUniqueName="[Customer_Dim]" displayFolder="" count="0" memberValueDatatype="13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Email_Address]" caption="Email_Address" attribute="1" defaultMemberUniqueName="[Customer_Dim].[Email_Address].[All]" allUniqueName="[Customer_Dim].[Email_Address].[All]" dimensionUniqueName="[Customer_Dim]" displayFolder="" count="0" memberValueDatatype="130" unbalanced="0"/>
    <cacheHierarchy uniqueName="[Customer_Dim].[Registration_Date]" caption="Registration_Date" attribute="1" time="1" defaultMemberUniqueName="[Customer_Dim].[Registration_Date].[All]" allUniqueName="[Customer_Dim].[Registration_Date].[All]" dimensionUniqueName="[Customer_Dim]" displayFolder="" count="0" memberValueDatatype="7" unbalanced="0"/>
    <cacheHierarchy uniqueName="[Product_Dim].[ProductID]" caption="ProductID" attribute="1" defaultMemberUniqueName="[Product_Dim].[ProductID].[All]" allUniqueName="[Product_Dim].[ProductID].[All]" dimensionUniqueName="[Product_Dim]" displayFolder="" count="0" memberValueDatatype="130" unbalanced="0"/>
    <cacheHierarchy uniqueName="[Product_Dim].[ProductName]" caption="ProductName" attribute="1" defaultMemberUniqueName="[Product_Dim].[ProductName].[All]" allUniqueName="[Product_Dim].[Product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0"/>
      </fieldsUsage>
    </cacheHierarchy>
    <cacheHierarchy uniqueName="[Product_Dim].[Unit_Price]" caption="Unit_Price" attribute="1" defaultMemberUniqueName="[Product_Dim].[Unit_Price].[All]" allUniqueName="[Product_Dim].[Unit_Price].[All]" dimensionUniqueName="[Product_Dim]" displayFolder="" count="0" memberValueDatatype="5" unbalanced="0"/>
    <cacheHierarchy uniqueName="[Sales_Fact].[TransactionID]" caption="TransactionID" attribute="1" defaultMemberUniqueName="[Sales_Fact].[TransactionID].[All]" allUniqueName="[Sales_Fact].[TransactionID].[All]" dimensionUniqueName="[Sales_Fact]" displayFolder="" count="0" memberValueDatatype="130" unbalanced="0"/>
    <cacheHierarchy uniqueName="[Sales_Fact].[CustomerID]" caption="CustomerID" attribute="1" defaultMemberUniqueName="[Sales_Fact].[CustomerID].[All]" allUniqueName="[Sales_Fact].[CustomerID].[All]" dimensionUniqueName="[Sales_Fact]" displayFolder="" count="0" memberValueDatatype="130" unbalanced="0"/>
    <cacheHierarchy uniqueName="[Sales_Fact].[ProductID]" caption="ProductID" attribute="1" defaultMemberUniqueName="[Sales_Fact].[ProductID].[All]" allUniqueName="[Sales_Fact].[ProductID].[All]" dimensionUniqueName="[Sales_Fact]" displayFolder="" count="0" memberValueDatatype="130" unbalanced="0"/>
    <cacheHierarchy uniqueName="[Sales_Fact].[Sales_Date]" caption="Sales_Date" attribute="1" time="1" defaultMemberUniqueName="[Sales_Fact].[Sales_Date].[All]" allUniqueName="[Sales_Fact].[Sales_Date].[All]" dimensionUniqueName="[Sales_Fact]" displayFolder="" count="0" memberValueDatatype="7" unbalanced="0"/>
    <cacheHierarchy uniqueName="[Sales_Fact].[Qty_Order]" caption="Qty_Order" attribute="1" defaultMemberUniqueName="[Sales_Fact].[Qty_Order].[All]" allUniqueName="[Sales_Fact].[Qty_Order].[All]" dimensionUniqueName="[Sales_Fact]" displayFolder="" count="0" memberValueDatatype="20" unbalanced="0"/>
    <cacheHierarchy uniqueName="[Sales_Fact].[StoreID]" caption="StoreID" attribute="1" defaultMemberUniqueName="[Sales_Fact].[StoreID].[All]" allUniqueName="[Sales_Fact].[StoreID].[All]" dimensionUniqueName="[Sales_Fact]" displayFolder="" count="0" memberValueDatatype="130" unbalanced="0"/>
    <cacheHierarchy uniqueName="[Sales_Fact].[Sales_Date (Month)]" caption="Sales_Date (Month)" attribute="1" defaultMemberUniqueName="[Sales_Fact].[Sales_Date (Month)].[All]" allUniqueName="[Sales_Fact].[Sales_Date (Month)].[All]" dimensionUniqueName="[Sales_Fact]" displayFolder="" count="0" memberValueDatatype="130" unbalanced="0"/>
    <cacheHierarchy uniqueName="[Stores_Dim].[StoreID]" caption="StoreID" attribute="1" defaultMemberUniqueName="[Stores_Dim].[StoreID].[All]" allUniqueName="[Stores_Dim].[StoreID].[All]" dimensionUniqueName="[Stores_Dim]" displayFolder="" count="0" memberValueDatatype="130" unbalanced="0"/>
    <cacheHierarchy uniqueName="[Stores_Dim].[Region]" caption="Region" attribute="1" defaultMemberUniqueName="[Stores_Dim].[Region].[All]" allUniqueName="[Stores_Dim].[Region].[All]" dimensionUniqueName="[Stores_Dim]" displayFolder="" count="0" memberValueDatatype="130" unbalanced="0"/>
    <cacheHierarchy uniqueName="[Stores_Dim].[Store_Manager]" caption="Store_Manager" attribute="1" defaultMemberUniqueName="[Stores_Dim].[Store_Manager].[All]" allUniqueName="[Stores_Dim].[Store_Manager].[All]" dimensionUniqueName="[Stores_Dim]" displayFolder="" count="0" memberValueDatatype="130" unbalanced="0"/>
    <cacheHierarchy uniqueName="[Sales_Fact].[Sales_Date (Month Index)]" caption="Sales_Date (Month Index)" attribute="1" defaultMemberUniqueName="[Sales_Fact].[Sales_Date (Month Index)].[All]" allUniqueName="[Sales_Fact].[Sales_Date (Month Index)].[All]" dimensionUniqueName="[Sales_Fact]" displayFolder="" count="0" memberValueDatatype="20" unbalanced="0" hidden="1"/>
    <cacheHierarchy uniqueName="[Measures].[Total Revenue]" caption="Total Revenue" measure="1" displayFolder="" measureGroup="Sales_Fact" count="0"/>
    <cacheHierarchy uniqueName="[Measures].[__XL_Count Table1]" caption="__XL_Count Table1" measure="1" displayFolder="" measureGroup="Sales_Fact" count="0" hidden="1"/>
    <cacheHierarchy uniqueName="[Measures].[__XL_Count Table2]" caption="__XL_Count Table2" measure="1" displayFolder="" measureGroup="Customer_Dim" count="0" hidden="1"/>
    <cacheHierarchy uniqueName="[Measures].[__XL_Count Table3]" caption="__XL_Count Table3" measure="1" displayFolder="" measureGroup="Product_Dim" count="0" hidden="1"/>
    <cacheHierarchy uniqueName="[Measures].[__XL_Count Table4]" caption="__XL_Count Table4" measure="1" displayFolder="" measureGroup="Stores_Dim" count="0" hidden="1"/>
    <cacheHierarchy uniqueName="[Measures].[__No measures defined]" caption="__No measures defined" measure="1" displayFolder="" count="0" hidden="1"/>
    <cacheHierarchy uniqueName="[Measures].[Sum of Qty_Order]" caption="Sum of Qty_Order" measure="1" displayFolder="" measureGroup="Sales_Fact"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6"/>
        </ext>
      </extLst>
    </cacheHierarchy>
    <cacheHierarchy uniqueName="[Measures].[Count of ProductID]" caption="Count of ProductID" measure="1" displayFolder="" measureGroup="Product_Dim" count="0" hidden="1">
      <extLst>
        <ext xmlns:x15="http://schemas.microsoft.com/office/spreadsheetml/2010/11/main" uri="{B97F6D7D-B522-45F9-BDA1-12C45D357490}">
          <x15:cacheHierarchy aggregatedColumn="4"/>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tores_Dim" uniqueName="[Stores_Dim]" caption="Stores_Dim"/>
  </dimensions>
  <measureGroups count="4">
    <measureGroup name="Customer_Dim" caption="Customer_Dim"/>
    <measureGroup name="Product_Dim" caption="Product_Dim"/>
    <measureGroup name="Sales_Fact" caption="Sales_Fact"/>
    <measureGroup name="Stores_Dim" caption="Stores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WALE" refreshedDate="46287.601807407409" createdVersion="8" refreshedVersion="8" minRefreshableVersion="3" recordCount="0" supportSubquery="1" supportAdvancedDrill="1" xr:uid="{DDAEDA73-FFF9-44B9-9859-A8FD668B10A0}">
  <cacheSource type="external" connectionId="1"/>
  <cacheFields count="2">
    <cacheField name="[Customer_Dim].[Customer_Name].[Customer_Name]" caption="Customer_Name" numFmtId="0" hierarchy="1" level="1">
      <sharedItems count="10">
        <s v="Alice Brown"/>
        <s v="Bob Johnson"/>
        <s v="Charlie Green"/>
        <s v="Emily White"/>
        <s v="Frank Black"/>
        <s v="Grace Summary"/>
        <s v="Henry Ford"/>
        <s v="Ivy League"/>
        <s v="Jane Smith"/>
        <s v="John Doe"/>
      </sharedItems>
    </cacheField>
    <cacheField name="[Measures].[Total Revenue]" caption="Total Revenue" numFmtId="0" hierarchy="19" level="32767"/>
  </cacheFields>
  <cacheHierarchies count="28">
    <cacheHierarchy uniqueName="[Customer_Dim].[CustomerID]" caption="CustomerID" attribute="1" defaultMemberUniqueName="[Customer_Dim].[CustomerID].[All]" allUniqueName="[Customer_Dim].[CustomerID].[All]" dimensionUniqueName="[Customer_Dim]" displayFolder="" count="2" memberValueDatatype="130" unbalanced="0"/>
    <cacheHierarchy uniqueName="[Customer_Dim].[Customer_Name]" caption="Customer_Name" attribute="1" defaultMemberUniqueName="[Customer_Dim].[Customer_Name].[All]" allUniqueName="[Customer_Dim].[Customer_Name].[All]" dimensionUniqueName="[Customer_Dim]" displayFolder="" count="2" memberValueDatatype="130" unbalanced="0">
      <fieldsUsage count="2">
        <fieldUsage x="-1"/>
        <fieldUsage x="0"/>
      </fieldsUsage>
    </cacheHierarchy>
    <cacheHierarchy uniqueName="[Customer_Dim].[Email_Address]" caption="Email_Address" attribute="1" defaultMemberUniqueName="[Customer_Dim].[Email_Address].[All]" allUniqueName="[Customer_Dim].[Email_Address].[All]" dimensionUniqueName="[Customer_Dim]" displayFolder="" count="2" memberValueDatatype="130" unbalanced="0"/>
    <cacheHierarchy uniqueName="[Customer_Dim].[Registration_Date]" caption="Registration_Date" attribute="1" time="1" defaultMemberUniqueName="[Customer_Dim].[Registration_Date].[All]" allUniqueName="[Customer_Dim].[Registration_Date].[All]" dimensionUniqueName="[Customer_Dim]" displayFolder="" count="2" memberValueDatatype="7" unbalanced="0"/>
    <cacheHierarchy uniqueName="[Product_Dim].[ProductID]" caption="ProductID" attribute="1" defaultMemberUniqueName="[Product_Dim].[ProductID].[All]" allUniqueName="[Product_Dim].[ProductID].[All]" dimensionUniqueName="[Product_Dim]" displayFolder="" count="2" memberValueDatatype="130" unbalanced="0"/>
    <cacheHierarchy uniqueName="[Product_Dim].[ProductName]" caption="ProductName" attribute="1" defaultMemberUniqueName="[Product_Dim].[ProductName].[All]" allUniqueName="[Product_Dim].[Product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Unit_Price]" caption="Unit_Price" attribute="1" defaultMemberUniqueName="[Product_Dim].[Unit_Price].[All]" allUniqueName="[Product_Dim].[Unit_Price].[All]" dimensionUniqueName="[Product_Dim]" displayFolder="" count="2" memberValueDatatype="5" unbalanced="0"/>
    <cacheHierarchy uniqueName="[Sales_Fact].[TransactionID]" caption="TransactionID" attribute="1" defaultMemberUniqueName="[Sales_Fact].[TransactionID].[All]" allUniqueName="[Sales_Fact].[TransactionID].[All]" dimensionUniqueName="[Sales_Fact]" displayFolder="" count="2" memberValueDatatype="130" unbalanced="0"/>
    <cacheHierarchy uniqueName="[Sales_Fact].[CustomerID]" caption="CustomerID" attribute="1" defaultMemberUniqueName="[Sales_Fact].[CustomerID].[All]" allUniqueName="[Sales_Fact].[CustomerID].[All]" dimensionUniqueName="[Sales_Fact]" displayFolder="" count="2" memberValueDatatype="130" unbalanced="0"/>
    <cacheHierarchy uniqueName="[Sales_Fact].[ProductID]" caption="ProductID" attribute="1" defaultMemberUniqueName="[Sales_Fact].[ProductID].[All]" allUniqueName="[Sales_Fact].[ProductID].[All]" dimensionUniqueName="[Sales_Fact]" displayFolder="" count="2" memberValueDatatype="130" unbalanced="0"/>
    <cacheHierarchy uniqueName="[Sales_Fact].[Sales_Date]" caption="Sales_Date" attribute="1" time="1" defaultMemberUniqueName="[Sales_Fact].[Sales_Date].[All]" allUniqueName="[Sales_Fact].[Sales_Date].[All]" dimensionUniqueName="[Sales_Fact]" displayFolder="" count="2" memberValueDatatype="7" unbalanced="0"/>
    <cacheHierarchy uniqueName="[Sales_Fact].[Qty_Order]" caption="Qty_Order" attribute="1" defaultMemberUniqueName="[Sales_Fact].[Qty_Order].[All]" allUniqueName="[Sales_Fact].[Qty_Order].[All]" dimensionUniqueName="[Sales_Fact]" displayFolder="" count="2" memberValueDatatype="20" unbalanced="0"/>
    <cacheHierarchy uniqueName="[Sales_Fact].[StoreID]" caption="StoreID" attribute="1" defaultMemberUniqueName="[Sales_Fact].[StoreID].[All]" allUniqueName="[Sales_Fact].[StoreID].[All]" dimensionUniqueName="[Sales_Fact]" displayFolder="" count="2" memberValueDatatype="130" unbalanced="0"/>
    <cacheHierarchy uniqueName="[Sales_Fact].[Sales_Date (Month)]" caption="Sales_Date (Month)" attribute="1" defaultMemberUniqueName="[Sales_Fact].[Sales_Date (Month)].[All]" allUniqueName="[Sales_Fact].[Sales_Date (Month)].[All]" dimensionUniqueName="[Sales_Fact]" displayFolder="" count="2" memberValueDatatype="130" unbalanced="0"/>
    <cacheHierarchy uniqueName="[Stores_Dim].[StoreID]" caption="StoreID" attribute="1" defaultMemberUniqueName="[Stores_Dim].[StoreID].[All]" allUniqueName="[Stores_Dim].[StoreID].[All]" dimensionUniqueName="[Stores_Dim]" displayFolder="" count="2" memberValueDatatype="130" unbalanced="0"/>
    <cacheHierarchy uniqueName="[Stores_Dim].[Region]" caption="Region" attribute="1" defaultMemberUniqueName="[Stores_Dim].[Region].[All]" allUniqueName="[Stores_Dim].[Region].[All]" dimensionUniqueName="[Stores_Dim]" displayFolder="" count="2" memberValueDatatype="130" unbalanced="0"/>
    <cacheHierarchy uniqueName="[Stores_Dim].[Store_Manager]" caption="Store_Manager" attribute="1" defaultMemberUniqueName="[Stores_Dim].[Store_Manager].[All]" allUniqueName="[Stores_Dim].[Store_Manager].[All]" dimensionUniqueName="[Stores_Dim]" displayFolder="" count="2" memberValueDatatype="130" unbalanced="0"/>
    <cacheHierarchy uniqueName="[Sales_Fact].[Sales_Date (Month Index)]" caption="Sales_Date (Month Index)" attribute="1" defaultMemberUniqueName="[Sales_Fact].[Sales_Date (Month Index)].[All]" allUniqueName="[Sales_Fact].[Sales_Date (Month Index)].[All]" dimensionUniqueName="[Sales_Fact]" displayFolder="" count="2" memberValueDatatype="20" unbalanced="0" hidden="1"/>
    <cacheHierarchy uniqueName="[Measures].[Total Revenue]" caption="Total Revenue" measure="1" displayFolder="" measureGroup="Sales_Fact" count="0" oneField="1">
      <fieldsUsage count="1">
        <fieldUsage x="1"/>
      </fieldsUsage>
    </cacheHierarchy>
    <cacheHierarchy uniqueName="[Measures].[__XL_Count Table1]" caption="__XL_Count Table1" measure="1" displayFolder="" measureGroup="Sales_Fact" count="0" hidden="1"/>
    <cacheHierarchy uniqueName="[Measures].[__XL_Count Table2]" caption="__XL_Count Table2" measure="1" displayFolder="" measureGroup="Customer_Dim" count="0" hidden="1"/>
    <cacheHierarchy uniqueName="[Measures].[__XL_Count Table3]" caption="__XL_Count Table3" measure="1" displayFolder="" measureGroup="Product_Dim" count="0" hidden="1"/>
    <cacheHierarchy uniqueName="[Measures].[__XL_Count Table4]" caption="__XL_Count Table4" measure="1" displayFolder="" measureGroup="Stores_Dim" count="0" hidden="1"/>
    <cacheHierarchy uniqueName="[Measures].[__No measures defined]" caption="__No measures defined" measure="1" displayFolder="" count="0" hidden="1"/>
    <cacheHierarchy uniqueName="[Measures].[Sum of Qty_Order]" caption="Sum of Qty_Order" measure="1" displayFolder="" measureGroup="Sales_Fact"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6"/>
        </ext>
      </extLst>
    </cacheHierarchy>
    <cacheHierarchy uniqueName="[Measures].[Count of ProductID]" caption="Count of ProductID" measure="1" displayFolder="" measureGroup="Product_Dim" count="0" hidden="1">
      <extLst>
        <ext xmlns:x15="http://schemas.microsoft.com/office/spreadsheetml/2010/11/main" uri="{B97F6D7D-B522-45F9-BDA1-12C45D357490}">
          <x15:cacheHierarchy aggregatedColumn="4"/>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tores_Dim" uniqueName="[Stores_Dim]" caption="Stores_Dim"/>
  </dimensions>
  <measureGroups count="4">
    <measureGroup name="Customer_Dim" caption="Customer_Dim"/>
    <measureGroup name="Product_Dim" caption="Product_Dim"/>
    <measureGroup name="Sales_Fact" caption="Sales_Fact"/>
    <measureGroup name="Stores_Dim" caption="Stores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WALE" refreshedDate="46287.60180138889" createdVersion="3" refreshedVersion="8" minRefreshableVersion="3" recordCount="0" supportSubquery="1" supportAdvancedDrill="1" xr:uid="{74096B52-C633-43E4-A338-7499F365990E}">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Customer_Dim].[CustomerID]" caption="CustomerID" attribute="1" defaultMemberUniqueName="[Customer_Dim].[CustomerID].[All]" allUniqueName="[Customer_Dim].[CustomerID].[All]" dimensionUniqueName="[Customer_Dim]" displayFolder="" count="0" memberValueDatatype="13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Email_Address]" caption="Email_Address" attribute="1" defaultMemberUniqueName="[Customer_Dim].[Email_Address].[All]" allUniqueName="[Customer_Dim].[Email_Address].[All]" dimensionUniqueName="[Customer_Dim]" displayFolder="" count="0" memberValueDatatype="130" unbalanced="0"/>
    <cacheHierarchy uniqueName="[Customer_Dim].[Registration_Date]" caption="Registration_Date" attribute="1" time="1" defaultMemberUniqueName="[Customer_Dim].[Registration_Date].[All]" allUniqueName="[Customer_Dim].[Registration_Date].[All]" dimensionUniqueName="[Customer_Dim]" displayFolder="" count="0" memberValueDatatype="7" unbalanced="0"/>
    <cacheHierarchy uniqueName="[Product_Dim].[ProductID]" caption="ProductID" attribute="1" defaultMemberUniqueName="[Product_Dim].[ProductID].[All]" allUniqueName="[Product_Dim].[ProductID].[All]" dimensionUniqueName="[Product_Dim]" displayFolder="" count="0" memberValueDatatype="130" unbalanced="0"/>
    <cacheHierarchy uniqueName="[Product_Dim].[ProductName]" caption="ProductName" attribute="1" defaultMemberUniqueName="[Product_Dim].[ProductName].[All]" allUniqueName="[Product_Dim].[Product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Unit_Price]" caption="Unit_Price" attribute="1" defaultMemberUniqueName="[Product_Dim].[Unit_Price].[All]" allUniqueName="[Product_Dim].[Unit_Price].[All]" dimensionUniqueName="[Product_Dim]" displayFolder="" count="0" memberValueDatatype="5" unbalanced="0"/>
    <cacheHierarchy uniqueName="[Sales_Fact].[TransactionID]" caption="TransactionID" attribute="1" defaultMemberUniqueName="[Sales_Fact].[TransactionID].[All]" allUniqueName="[Sales_Fact].[TransactionID].[All]" dimensionUniqueName="[Sales_Fact]" displayFolder="" count="0" memberValueDatatype="130" unbalanced="0"/>
    <cacheHierarchy uniqueName="[Sales_Fact].[CustomerID]" caption="CustomerID" attribute="1" defaultMemberUniqueName="[Sales_Fact].[CustomerID].[All]" allUniqueName="[Sales_Fact].[CustomerID].[All]" dimensionUniqueName="[Sales_Fact]" displayFolder="" count="0" memberValueDatatype="130" unbalanced="0"/>
    <cacheHierarchy uniqueName="[Sales_Fact].[ProductID]" caption="ProductID" attribute="1" defaultMemberUniqueName="[Sales_Fact].[ProductID].[All]" allUniqueName="[Sales_Fact].[ProductID].[All]" dimensionUniqueName="[Sales_Fact]" displayFolder="" count="0" memberValueDatatype="130" unbalanced="0"/>
    <cacheHierarchy uniqueName="[Sales_Fact].[Sales_Date]" caption="Sales_Date" attribute="1" time="1" defaultMemberUniqueName="[Sales_Fact].[Sales_Date].[All]" allUniqueName="[Sales_Fact].[Sales_Date].[All]" dimensionUniqueName="[Sales_Fact]" displayFolder="" count="0" memberValueDatatype="7" unbalanced="0"/>
    <cacheHierarchy uniqueName="[Sales_Fact].[Qty_Order]" caption="Qty_Order" attribute="1" defaultMemberUniqueName="[Sales_Fact].[Qty_Order].[All]" allUniqueName="[Sales_Fact].[Qty_Order].[All]" dimensionUniqueName="[Sales_Fact]" displayFolder="" count="0" memberValueDatatype="20" unbalanced="0"/>
    <cacheHierarchy uniqueName="[Sales_Fact].[StoreID]" caption="StoreID" attribute="1" defaultMemberUniqueName="[Sales_Fact].[StoreID].[All]" allUniqueName="[Sales_Fact].[StoreID].[All]" dimensionUniqueName="[Sales_Fact]" displayFolder="" count="0" memberValueDatatype="130" unbalanced="0"/>
    <cacheHierarchy uniqueName="[Sales_Fact].[Sales_Date (Month)]" caption="Sales_Date (Month)" attribute="1" defaultMemberUniqueName="[Sales_Fact].[Sales_Date (Month)].[All]" allUniqueName="[Sales_Fact].[Sales_Date (Month)].[All]" dimensionUniqueName="[Sales_Fact]" displayFolder="" count="2" memberValueDatatype="130" unbalanced="0"/>
    <cacheHierarchy uniqueName="[Stores_Dim].[StoreID]" caption="StoreID" attribute="1" defaultMemberUniqueName="[Stores_Dim].[StoreID].[All]" allUniqueName="[Stores_Dim].[StoreID].[All]" dimensionUniqueName="[Stores_Dim]" displayFolder="" count="0" memberValueDatatype="130" unbalanced="0"/>
    <cacheHierarchy uniqueName="[Stores_Dim].[Region]" caption="Region" attribute="1" defaultMemberUniqueName="[Stores_Dim].[Region].[All]" allUniqueName="[Stores_Dim].[Region].[All]" dimensionUniqueName="[Stores_Dim]" displayFolder="" count="0" memberValueDatatype="130" unbalanced="0"/>
    <cacheHierarchy uniqueName="[Stores_Dim].[Store_Manager]" caption="Store_Manager" attribute="1" defaultMemberUniqueName="[Stores_Dim].[Store_Manager].[All]" allUniqueName="[Stores_Dim].[Store_Manager].[All]" dimensionUniqueName="[Stores_Dim]" displayFolder="" count="0" memberValueDatatype="130" unbalanced="0"/>
    <cacheHierarchy uniqueName="[Sales_Fact].[Sales_Date (Month Index)]" caption="Sales_Date (Month Index)" attribute="1" defaultMemberUniqueName="[Sales_Fact].[Sales_Date (Month Index)].[All]" allUniqueName="[Sales_Fact].[Sales_Date (Month Index)].[All]" dimensionUniqueName="[Sales_Fact]" displayFolder="" count="0" memberValueDatatype="20" unbalanced="0" hidden="1"/>
    <cacheHierarchy uniqueName="[Measures].[Total Revenue]" caption="Total Revenue" measure="1" displayFolder="" measureGroup="Sales_Fact" count="0"/>
    <cacheHierarchy uniqueName="[Measures].[__XL_Count Table1]" caption="__XL_Count Table1" measure="1" displayFolder="" measureGroup="Sales_Fact" count="0" hidden="1"/>
    <cacheHierarchy uniqueName="[Measures].[__XL_Count Table2]" caption="__XL_Count Table2" measure="1" displayFolder="" measureGroup="Customer_Dim" count="0" hidden="1"/>
    <cacheHierarchy uniqueName="[Measures].[__XL_Count Table3]" caption="__XL_Count Table3" measure="1" displayFolder="" measureGroup="Product_Dim" count="0" hidden="1"/>
    <cacheHierarchy uniqueName="[Measures].[__XL_Count Table4]" caption="__XL_Count Table4" measure="1" displayFolder="" measureGroup="Stores_Dim" count="0" hidden="1"/>
    <cacheHierarchy uniqueName="[Measures].[__No measures defined]" caption="__No measures defined" measure="1" displayFolder="" count="0" hidden="1"/>
    <cacheHierarchy uniqueName="[Measures].[Sum of Qty_Order]" caption="Sum of Qty_Order" measure="1" displayFolder="" measureGroup="Sales_Fact"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6"/>
        </ext>
      </extLst>
    </cacheHierarchy>
    <cacheHierarchy uniqueName="[Measures].[Count of ProductID]" caption="Count of ProductID" measure="1" displayFolder="" measureGroup="Product_Dim"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8173299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9B75EB-6258-464F-9DD4-9F119693FAE0}" name="PivotTable1" cacheId="2" applyNumberFormats="0" applyBorderFormats="0" applyFontFormats="0" applyPatternFormats="0" applyAlignmentFormats="0" applyWidthHeightFormats="1" dataCaption="Values" missingCaption="0" tag="d0d20d90-d4cc-4e10-923b-591bf0b04f37" updatedVersion="8" minRefreshableVersion="3" useAutoFormatting="1" subtotalHiddenItems="1" itemPrintTitles="1" createdVersion="5" indent="0" outline="1" outlineData="1" multipleFieldFilters="0" chartFormat="10" rowHeaderCaption="Region" colHeaderCaption="Month">
  <location ref="B3:F10" firstHeaderRow="1" firstDataRow="3"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s>
    </pivotField>
    <pivotField axis="axisCol" allDrilled="1" subtotalTop="0" showAll="0" dataSourceSort="1" defaultSubtotal="0">
      <items count="3">
        <item x="0" e="0"/>
        <item x="1" e="0"/>
        <item x="2" e="0"/>
      </items>
    </pivotField>
    <pivotField dataField="1" subtotalTop="0" showAll="0" defaultSubtotal="0"/>
  </pivotFields>
  <rowFields count="1">
    <field x="0"/>
  </rowFields>
  <rowItems count="5">
    <i>
      <x/>
    </i>
    <i>
      <x v="1"/>
    </i>
    <i>
      <x v="2"/>
    </i>
    <i>
      <x v="3"/>
    </i>
    <i t="grand">
      <x/>
    </i>
  </rowItems>
  <colFields count="2">
    <field x="2"/>
    <field x="1"/>
  </colFields>
  <colItems count="4">
    <i>
      <x/>
    </i>
    <i>
      <x v="1"/>
    </i>
    <i>
      <x v="2"/>
    </i>
    <i t="grand">
      <x/>
    </i>
  </colItems>
  <dataFields count="1">
    <dataField fld="3"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2">
    <colHierarchyUsage hierarchyUsage="14"/>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Stores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11B061-6254-43C2-BD97-BAF697EB636A}" name="PivotTable3" cacheId="4" applyNumberFormats="0" applyBorderFormats="0" applyFontFormats="0" applyPatternFormats="0" applyAlignmentFormats="0" applyWidthHeightFormats="1" dataCaption="Values" tag="5f6b88a8-5a2a-4434-8784-64e12c68bdbb" updatedVersion="8" minRefreshableVersion="3" useAutoFormatting="1" itemPrintTitles="1" createdVersion="8" indent="0" outline="1" outlineData="1" multipleFieldFilters="0" chartFormat="12" rowHeaderCaption="Customer_Nmae">
  <location ref="B29:C40" firstHeaderRow="1" firstDataRow="1" firstDataCol="1"/>
  <pivotFields count="2">
    <pivotField axis="axisRow" allDrilled="1" subtotalTop="0" showAll="0" sortType="descending" defaultSubtotal="0" defaultAttributeDrillState="1">
      <items count="10">
        <item s="1" x="0"/>
        <item s="1" x="1"/>
        <item s="1" x="2"/>
        <item s="1" x="3"/>
        <item s="1" x="4"/>
        <item s="1" x="5"/>
        <item s="1" x="6"/>
        <item s="1" x="7"/>
        <item s="1" x="8"/>
        <item s="1"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v="4"/>
    </i>
    <i>
      <x/>
    </i>
    <i>
      <x v="1"/>
    </i>
    <i>
      <x v="3"/>
    </i>
    <i>
      <x v="5"/>
    </i>
    <i>
      <x v="9"/>
    </i>
    <i>
      <x v="2"/>
    </i>
    <i>
      <x v="6"/>
    </i>
    <i>
      <x v="7"/>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CAADAD-C827-45AA-A8EF-560225FDDAD7}" name="PivotTable5" cacheId="3" applyNumberFormats="0" applyBorderFormats="0" applyFontFormats="0" applyPatternFormats="0" applyAlignmentFormats="0" applyWidthHeightFormats="1" dataCaption="Values" tag="a9d4b9d5-c893-4741-b6e9-4baed46721d2" updatedVersion="8" minRefreshableVersion="3" useAutoFormatting="1" subtotalHiddenItems="1" itemPrintTitles="1" createdVersion="8" indent="0" outline="1" outlineData="1" multipleFieldFilters="0" chartFormat="2" rowHeaderCaption="ProductID">
  <location ref="B50:B51" firstHeaderRow="1" firstDataRow="1" firstDataCol="0"/>
  <pivotFields count="2">
    <pivotField allDrilled="1" subtotalTop="0" showAll="0" dataSourceSort="1" defaultSubtotal="0" defaultAttributeDrillState="1">
      <items count="7">
        <item s="1" x="0"/>
        <item s="1" x="1"/>
        <item s="1" x="2"/>
        <item s="1" x="3"/>
        <item s="1" x="4"/>
        <item s="1" x="5"/>
        <item s="1" x="6"/>
      </items>
    </pivotField>
    <pivotField dataField="1" subtotalTop="0" showAll="0" defaultSubtotal="0"/>
  </pivotFields>
  <rowItems count="1">
    <i/>
  </rowItems>
  <colItems count="1">
    <i/>
  </colItems>
  <dataFields count="1">
    <dataField name="Sum of Qty_Order" fld="1"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39F26A-358C-420C-A8A2-7F9AC44E81F8}" name="PivotTable4" cacheId="0" applyNumberFormats="0" applyBorderFormats="0" applyFontFormats="0" applyPatternFormats="0" applyAlignmentFormats="0" applyWidthHeightFormats="1" dataCaption="Values" tag="5f6b88a8-5a2a-4434-8784-64e12c68bdbb" updatedVersion="8" minRefreshableVersion="3" useAutoFormatting="1" itemPrintTitles="1" createdVersion="8" indent="0" outline="1" outlineData="1" multipleFieldFilters="0" chartFormat="2" rowHeaderCaption="Customer_Nmae">
  <location ref="B46:B47" firstHeaderRow="1" firstDataRow="1" firstDataCol="0"/>
  <pivotFields count="2">
    <pivotField allDrilled="1" subtotalTop="0" showAll="0" dataSourceSort="1" defaultSubtotal="0" defaultAttributeDrillState="1">
      <items count="10">
        <item s="1" x="0"/>
        <item s="1" x="1"/>
        <item s="1" x="2"/>
        <item s="1" x="3"/>
        <item s="1" x="4"/>
        <item s="1" x="5"/>
        <item s="1" x="6"/>
        <item s="1" x="7"/>
        <item s="1" x="8"/>
        <item s="1" x="9"/>
      </items>
    </pivotField>
    <pivotField dataField="1" subtotalTop="0" showAll="0" defaultSubtotal="0"/>
  </pivotFields>
  <rowItems count="1">
    <i/>
  </rowItems>
  <colItems count="1">
    <i/>
  </colItems>
  <dataFields count="1">
    <dataField fld="1"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343A39-215E-44DB-852F-A27027FFCF98}" name="PivotTable2" cacheId="1" applyNumberFormats="0" applyBorderFormats="0" applyFontFormats="0" applyPatternFormats="0" applyAlignmentFormats="0" applyWidthHeightFormats="1" dataCaption="Values" tag="a9d4b9d5-c893-4741-b6e9-4baed46721d2" updatedVersion="8" minRefreshableVersion="3" useAutoFormatting="1" itemPrintTitles="1" createdVersion="8" indent="0" outline="1" outlineData="1" multipleFieldFilters="0" chartFormat="18" rowHeaderCaption="ProductID">
  <location ref="B18:D26" firstHeaderRow="0" firstDataRow="1" firstDataCol="1"/>
  <pivotFields count="3">
    <pivotField axis="axisRow" allDrilled="1" subtotalTop="0" showAll="0" dataSourceSort="1" defaultSubtotal="0" defaultAttributeDrillState="1">
      <items count="7">
        <item s="1" x="0"/>
        <item s="1" x="1"/>
        <item s="1" x="2"/>
        <item s="1" x="3"/>
        <item s="1" x="4"/>
        <item s="1" x="5"/>
        <item s="1"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Sum of Qty_Order" fld="1"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Date__Month" xr10:uid="{B9B31FC7-4900-4EF3-B7B0-0FDBC02C5CF8}" sourceName="[Sales_Fact].[Sales_Date (Month)]">
  <pivotTables>
    <pivotTable tabId="5" name="PivotTable3"/>
  </pivotTables>
  <data>
    <olap pivotCacheId="1817329983">
      <levels count="2">
        <level uniqueName="[Sales_Fact].[Sales_Date (Month)].[(All)]" sourceCaption="(All)" count="0"/>
        <level uniqueName="[Sales_Fact].[Sales_Date (Month)].[Sales_Date (Month)]" sourceCaption="Sales_Date (Month)" count="3">
          <ranges>
            <range startItem="0">
              <i n="[Sales_Fact].[Sales_Date (Month)].&amp;[Jan]" c="Jan"/>
              <i n="[Sales_Fact].[Sales_Date (Month)].&amp;[Feb]" c="Feb"/>
              <i n="[Sales_Fact].[Sales_Date (Month)].&amp;[Mar]" c="Mar"/>
            </range>
          </ranges>
        </level>
      </levels>
      <selections count="1">
        <selection n="[Sales_Fact].[Sales_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Date (Month)" xr10:uid="{5EC4053E-B6BF-4B21-BBBC-AC4D38283E53}" cache="Slicer_Sales_Date__Month" caption="Sales_Date (Month)" columnCount="3"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94CF12-B5DD-4276-AD61-5F064F345B30}" name="Table1" displayName="Table1" ref="A1:F31" totalsRowShown="0" headerRowDxfId="11" headerRowBorderDxfId="10" tableBorderDxfId="9">
  <autoFilter ref="A1:F31" xr:uid="{00000000-0001-0000-0000-000000000000}"/>
  <sortState xmlns:xlrd2="http://schemas.microsoft.com/office/spreadsheetml/2017/richdata2" ref="A2:F31">
    <sortCondition descending="1" ref="D1:D151"/>
  </sortState>
  <tableColumns count="6">
    <tableColumn id="1" xr3:uid="{4B130972-1BB4-4D9E-8E04-735457D2869D}" name="TransactionID"/>
    <tableColumn id="2" xr3:uid="{0ABF9A80-9110-4C56-A617-F568BB349D5A}" name="CustomerID"/>
    <tableColumn id="3" xr3:uid="{4F3173D5-5E79-493C-920B-CE5708BC7D79}" name="ProductID"/>
    <tableColumn id="4" xr3:uid="{C12FC4DD-41EC-4BDC-A069-092C0BC9ADEC}" name="Sales_Date" dataDxfId="8"/>
    <tableColumn id="5" xr3:uid="{B570FAE1-F4FE-4680-93FB-4A3CA98BB663}" name="Qty_Order"/>
    <tableColumn id="6" xr3:uid="{941D1576-89C6-4320-982C-C25221C33D0B}" name="StoreI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27D9B0-A8D3-4A2B-BB8F-D67B0249A200}" name="Table2" displayName="Table2" ref="A1:D31" totalsRowShown="0">
  <autoFilter ref="A1:D31" xr:uid="{00000000-0001-0000-0100-000000000000}"/>
  <sortState xmlns:xlrd2="http://schemas.microsoft.com/office/spreadsheetml/2017/richdata2" ref="A2:D31">
    <sortCondition ref="D1:D32"/>
  </sortState>
  <tableColumns count="4">
    <tableColumn id="1" xr3:uid="{C66EAD23-C267-404F-8411-C61C2D146100}" name="CustomerID"/>
    <tableColumn id="2" xr3:uid="{A78DB5CD-7C51-4BC9-BC80-C64C36421513}" name="Customer_Name"/>
    <tableColumn id="3" xr3:uid="{0A012B9D-658D-4E10-B99C-07916F1A5232}" name="Email_Address"/>
    <tableColumn id="4" xr3:uid="{B4473D9C-9B4B-4240-B30B-73A1B0F0A9A6}" name="Registration_Date" dataDxfId="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0539C5-1A4C-49B8-9CAD-01E90A1BEE8C}" name="Table3" displayName="Table3" ref="A1:D16" totalsRowShown="0" headerRowDxfId="6" headerRowBorderDxfId="5" tableBorderDxfId="4">
  <autoFilter ref="A1:D16" xr:uid="{640539C5-1A4C-49B8-9CAD-01E90A1BEE8C}"/>
  <tableColumns count="4">
    <tableColumn id="1" xr3:uid="{022E43FD-7FC0-4F58-8F44-0AD7218AFF5C}" name="ProductID"/>
    <tableColumn id="2" xr3:uid="{7386B009-BF6B-4D8C-870D-C92316F1F622}" name="ProductName"/>
    <tableColumn id="3" xr3:uid="{17E4D3B8-ED41-48CC-9B47-92437FAEA2B7}" name="Category"/>
    <tableColumn id="4" xr3:uid="{8919D491-C74A-4F5F-94FE-FFA087FA8595}" name="Unit_Price" dataDxfId="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45DA44F-8BCF-4459-8163-6601BE6E0820}" name="Table4" displayName="Table4" ref="A1:C5" totalsRowShown="0" headerRowDxfId="2" headerRowBorderDxfId="1" tableBorderDxfId="0">
  <autoFilter ref="A1:C5" xr:uid="{245DA44F-8BCF-4459-8163-6601BE6E0820}"/>
  <tableColumns count="3">
    <tableColumn id="1" xr3:uid="{D331635B-320F-4C13-8C41-AD0BB53F136D}" name="StoreID"/>
    <tableColumn id="2" xr3:uid="{8592E15A-5697-4708-8FBF-9F21DC9521B6}" name="Region"/>
    <tableColumn id="3" xr3:uid="{B4D3FC39-5900-4D9C-80C3-E5432F9956CA}" name="Store_Manag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workbookViewId="0">
      <selection activeCell="A2" sqref="A2"/>
    </sheetView>
  </sheetViews>
  <sheetFormatPr defaultRowHeight="14.5" x14ac:dyDescent="0.35"/>
  <cols>
    <col min="1" max="1" width="17" bestFit="1" customWidth="1"/>
    <col min="2" max="2" width="15.36328125" bestFit="1" customWidth="1"/>
    <col min="3" max="3" width="13.81640625" bestFit="1" customWidth="1"/>
    <col min="4" max="4" width="14.54296875" bestFit="1" customWidth="1"/>
    <col min="5" max="5" width="14.26953125" bestFit="1" customWidth="1"/>
    <col min="6" max="6" width="11.6328125" bestFit="1" customWidth="1"/>
  </cols>
  <sheetData>
    <row r="1" spans="1:6" x14ac:dyDescent="0.35">
      <c r="A1" s="6" t="s">
        <v>0</v>
      </c>
      <c r="B1" s="6" t="s">
        <v>1</v>
      </c>
      <c r="C1" s="6" t="s">
        <v>2</v>
      </c>
      <c r="D1" s="6" t="s">
        <v>128</v>
      </c>
      <c r="E1" s="6" t="s">
        <v>127</v>
      </c>
      <c r="F1" s="6" t="s">
        <v>3</v>
      </c>
    </row>
    <row r="2" spans="1:6" x14ac:dyDescent="0.35">
      <c r="A2" t="s">
        <v>9</v>
      </c>
      <c r="B2" t="s">
        <v>10</v>
      </c>
      <c r="C2" t="s">
        <v>11</v>
      </c>
      <c r="D2" s="2">
        <v>46082</v>
      </c>
      <c r="E2">
        <v>3</v>
      </c>
      <c r="F2" t="s">
        <v>12</v>
      </c>
    </row>
    <row r="3" spans="1:6" x14ac:dyDescent="0.35">
      <c r="A3" t="s">
        <v>45</v>
      </c>
      <c r="B3" t="s">
        <v>25</v>
      </c>
      <c r="C3" t="s">
        <v>14</v>
      </c>
      <c r="D3" s="2">
        <v>46082</v>
      </c>
      <c r="E3">
        <v>2</v>
      </c>
      <c r="F3" t="s">
        <v>6</v>
      </c>
    </row>
    <row r="4" spans="1:6" x14ac:dyDescent="0.35">
      <c r="A4" t="s">
        <v>55</v>
      </c>
      <c r="B4" t="s">
        <v>26</v>
      </c>
      <c r="C4" t="s">
        <v>16</v>
      </c>
      <c r="D4" s="2">
        <v>46082</v>
      </c>
      <c r="E4">
        <v>1</v>
      </c>
      <c r="F4" t="s">
        <v>8</v>
      </c>
    </row>
    <row r="5" spans="1:6" x14ac:dyDescent="0.35">
      <c r="A5" t="s">
        <v>72</v>
      </c>
      <c r="B5" t="s">
        <v>51</v>
      </c>
      <c r="C5" t="s">
        <v>43</v>
      </c>
      <c r="D5" s="2">
        <v>46082</v>
      </c>
      <c r="E5">
        <v>1</v>
      </c>
      <c r="F5" t="s">
        <v>8</v>
      </c>
    </row>
    <row r="6" spans="1:6" x14ac:dyDescent="0.35">
      <c r="A6" t="s">
        <v>78</v>
      </c>
      <c r="B6" t="s">
        <v>61</v>
      </c>
      <c r="C6" t="s">
        <v>43</v>
      </c>
      <c r="D6" s="2">
        <v>46081</v>
      </c>
      <c r="E6">
        <v>4</v>
      </c>
      <c r="F6" t="s">
        <v>22</v>
      </c>
    </row>
    <row r="7" spans="1:6" x14ac:dyDescent="0.35">
      <c r="A7" t="s">
        <v>32</v>
      </c>
      <c r="B7" t="s">
        <v>33</v>
      </c>
      <c r="C7" t="s">
        <v>21</v>
      </c>
      <c r="D7" s="2">
        <v>46080</v>
      </c>
      <c r="E7">
        <v>3</v>
      </c>
      <c r="F7" t="s">
        <v>22</v>
      </c>
    </row>
    <row r="8" spans="1:6" x14ac:dyDescent="0.35">
      <c r="A8" t="s">
        <v>49</v>
      </c>
      <c r="B8" t="s">
        <v>23</v>
      </c>
      <c r="C8" t="s">
        <v>27</v>
      </c>
      <c r="D8" s="2">
        <v>46080</v>
      </c>
      <c r="E8">
        <v>3</v>
      </c>
      <c r="F8" t="s">
        <v>8</v>
      </c>
    </row>
    <row r="9" spans="1:6" x14ac:dyDescent="0.35">
      <c r="A9" t="s">
        <v>69</v>
      </c>
      <c r="B9" t="s">
        <v>34</v>
      </c>
      <c r="C9" t="s">
        <v>24</v>
      </c>
      <c r="D9" s="2">
        <v>46080</v>
      </c>
      <c r="E9">
        <v>2</v>
      </c>
      <c r="F9" t="s">
        <v>22</v>
      </c>
    </row>
    <row r="10" spans="1:6" x14ac:dyDescent="0.35">
      <c r="A10" t="s">
        <v>44</v>
      </c>
      <c r="B10" t="s">
        <v>7</v>
      </c>
      <c r="C10" t="s">
        <v>41</v>
      </c>
      <c r="D10" s="2">
        <v>46079</v>
      </c>
      <c r="E10">
        <v>4</v>
      </c>
      <c r="F10" t="s">
        <v>22</v>
      </c>
    </row>
    <row r="11" spans="1:6" x14ac:dyDescent="0.35">
      <c r="A11" t="s">
        <v>66</v>
      </c>
      <c r="B11" t="s">
        <v>67</v>
      </c>
      <c r="C11" t="s">
        <v>21</v>
      </c>
      <c r="D11" s="2">
        <v>46079</v>
      </c>
      <c r="E11">
        <v>3</v>
      </c>
      <c r="F11" t="s">
        <v>8</v>
      </c>
    </row>
    <row r="12" spans="1:6" x14ac:dyDescent="0.35">
      <c r="A12" t="s">
        <v>77</v>
      </c>
      <c r="B12" t="s">
        <v>28</v>
      </c>
      <c r="C12" t="s">
        <v>17</v>
      </c>
      <c r="D12" s="2">
        <v>46078</v>
      </c>
      <c r="E12">
        <v>3</v>
      </c>
      <c r="F12" t="s">
        <v>12</v>
      </c>
    </row>
    <row r="13" spans="1:6" x14ac:dyDescent="0.35">
      <c r="A13" t="s">
        <v>76</v>
      </c>
      <c r="B13" t="s">
        <v>56</v>
      </c>
      <c r="C13" t="s">
        <v>126</v>
      </c>
      <c r="D13" s="2">
        <v>46077</v>
      </c>
      <c r="E13">
        <v>3</v>
      </c>
      <c r="F13" t="s">
        <v>6</v>
      </c>
    </row>
    <row r="14" spans="1:6" x14ac:dyDescent="0.35">
      <c r="A14" t="s">
        <v>81</v>
      </c>
      <c r="B14" t="s">
        <v>50</v>
      </c>
      <c r="C14" t="s">
        <v>35</v>
      </c>
      <c r="D14" s="2">
        <v>46077</v>
      </c>
      <c r="E14">
        <v>2</v>
      </c>
      <c r="F14" t="s">
        <v>6</v>
      </c>
    </row>
    <row r="15" spans="1:6" x14ac:dyDescent="0.35">
      <c r="A15" t="s">
        <v>18</v>
      </c>
      <c r="B15" t="s">
        <v>19</v>
      </c>
      <c r="C15" t="s">
        <v>20</v>
      </c>
      <c r="D15" s="2">
        <v>46076</v>
      </c>
      <c r="E15">
        <v>1</v>
      </c>
      <c r="F15" t="s">
        <v>6</v>
      </c>
    </row>
    <row r="16" spans="1:6" x14ac:dyDescent="0.35">
      <c r="A16" t="s">
        <v>65</v>
      </c>
      <c r="B16" t="s">
        <v>60</v>
      </c>
      <c r="C16" t="s">
        <v>38</v>
      </c>
      <c r="D16" s="2">
        <v>46076</v>
      </c>
      <c r="E16">
        <v>1</v>
      </c>
      <c r="F16" t="s">
        <v>12</v>
      </c>
    </row>
    <row r="17" spans="1:6" x14ac:dyDescent="0.35">
      <c r="A17" t="s">
        <v>63</v>
      </c>
      <c r="B17" t="s">
        <v>64</v>
      </c>
      <c r="C17" t="s">
        <v>31</v>
      </c>
      <c r="D17" s="2">
        <v>46075</v>
      </c>
      <c r="E17">
        <v>2</v>
      </c>
      <c r="F17" t="s">
        <v>6</v>
      </c>
    </row>
    <row r="18" spans="1:6" x14ac:dyDescent="0.35">
      <c r="A18" t="s">
        <v>68</v>
      </c>
      <c r="B18" t="s">
        <v>48</v>
      </c>
      <c r="C18" t="s">
        <v>16</v>
      </c>
      <c r="D18" s="2">
        <v>46075</v>
      </c>
      <c r="E18">
        <v>1</v>
      </c>
      <c r="F18" t="s">
        <v>12</v>
      </c>
    </row>
    <row r="19" spans="1:6" x14ac:dyDescent="0.35">
      <c r="A19" t="s">
        <v>74</v>
      </c>
      <c r="B19" t="s">
        <v>13</v>
      </c>
      <c r="C19" t="s">
        <v>11</v>
      </c>
      <c r="D19" s="2">
        <v>46075</v>
      </c>
      <c r="E19">
        <v>3</v>
      </c>
      <c r="F19" t="s">
        <v>6</v>
      </c>
    </row>
    <row r="20" spans="1:6" x14ac:dyDescent="0.35">
      <c r="A20" t="s">
        <v>29</v>
      </c>
      <c r="B20" t="s">
        <v>30</v>
      </c>
      <c r="C20" t="s">
        <v>31</v>
      </c>
      <c r="D20" s="2">
        <v>46072</v>
      </c>
      <c r="E20">
        <v>2</v>
      </c>
      <c r="F20" t="s">
        <v>22</v>
      </c>
    </row>
    <row r="21" spans="1:6" x14ac:dyDescent="0.35">
      <c r="A21" t="s">
        <v>46</v>
      </c>
      <c r="B21" t="s">
        <v>47</v>
      </c>
      <c r="C21" t="s">
        <v>35</v>
      </c>
      <c r="D21" s="2">
        <v>46071</v>
      </c>
      <c r="E21">
        <v>1</v>
      </c>
      <c r="F21" t="s">
        <v>12</v>
      </c>
    </row>
    <row r="22" spans="1:6" x14ac:dyDescent="0.35">
      <c r="A22" t="s">
        <v>59</v>
      </c>
      <c r="B22" t="s">
        <v>15</v>
      </c>
      <c r="C22" t="s">
        <v>35</v>
      </c>
      <c r="D22" s="2">
        <v>46071</v>
      </c>
      <c r="E22">
        <v>1</v>
      </c>
      <c r="F22" t="s">
        <v>12</v>
      </c>
    </row>
    <row r="23" spans="1:6" x14ac:dyDescent="0.35">
      <c r="A23" t="s">
        <v>79</v>
      </c>
      <c r="B23" t="s">
        <v>4</v>
      </c>
      <c r="C23" t="s">
        <v>17</v>
      </c>
      <c r="D23" s="2">
        <v>46071</v>
      </c>
      <c r="E23">
        <v>4</v>
      </c>
      <c r="F23" t="s">
        <v>22</v>
      </c>
    </row>
    <row r="24" spans="1:6" x14ac:dyDescent="0.35">
      <c r="A24" t="s">
        <v>57</v>
      </c>
      <c r="B24" t="s">
        <v>58</v>
      </c>
      <c r="C24" t="s">
        <v>126</v>
      </c>
      <c r="D24" s="2">
        <v>46069</v>
      </c>
      <c r="E24">
        <v>4</v>
      </c>
      <c r="F24" t="s">
        <v>8</v>
      </c>
    </row>
    <row r="25" spans="1:6" x14ac:dyDescent="0.35">
      <c r="A25" t="s">
        <v>39</v>
      </c>
      <c r="B25" t="s">
        <v>40</v>
      </c>
      <c r="C25" t="s">
        <v>5</v>
      </c>
      <c r="D25" s="2">
        <v>46063</v>
      </c>
      <c r="E25">
        <v>4</v>
      </c>
      <c r="F25" t="s">
        <v>22</v>
      </c>
    </row>
    <row r="26" spans="1:6" x14ac:dyDescent="0.35">
      <c r="A26" t="s">
        <v>73</v>
      </c>
      <c r="B26" t="s">
        <v>42</v>
      </c>
      <c r="C26" t="s">
        <v>16</v>
      </c>
      <c r="D26" s="2">
        <v>46058</v>
      </c>
      <c r="E26">
        <v>3</v>
      </c>
      <c r="F26" t="s">
        <v>22</v>
      </c>
    </row>
    <row r="27" spans="1:6" x14ac:dyDescent="0.35">
      <c r="A27" t="s">
        <v>70</v>
      </c>
      <c r="B27" t="s">
        <v>71</v>
      </c>
      <c r="C27" t="s">
        <v>20</v>
      </c>
      <c r="D27" s="2">
        <v>46048</v>
      </c>
      <c r="E27">
        <v>1</v>
      </c>
      <c r="F27" t="s">
        <v>8</v>
      </c>
    </row>
    <row r="28" spans="1:6" x14ac:dyDescent="0.35">
      <c r="A28" t="s">
        <v>53</v>
      </c>
      <c r="B28" t="s">
        <v>54</v>
      </c>
      <c r="C28" t="s">
        <v>5</v>
      </c>
      <c r="D28" s="2">
        <v>46043</v>
      </c>
      <c r="E28">
        <v>3</v>
      </c>
      <c r="F28" t="s">
        <v>22</v>
      </c>
    </row>
    <row r="29" spans="1:6" x14ac:dyDescent="0.35">
      <c r="A29" t="s">
        <v>80</v>
      </c>
      <c r="B29" t="s">
        <v>62</v>
      </c>
      <c r="C29" t="s">
        <v>5</v>
      </c>
      <c r="D29" s="2">
        <v>46035</v>
      </c>
      <c r="E29">
        <v>4</v>
      </c>
      <c r="F29" t="s">
        <v>6</v>
      </c>
    </row>
    <row r="30" spans="1:6" x14ac:dyDescent="0.35">
      <c r="A30" t="s">
        <v>36</v>
      </c>
      <c r="B30" t="s">
        <v>37</v>
      </c>
      <c r="C30" t="s">
        <v>38</v>
      </c>
      <c r="D30" s="2">
        <v>46030</v>
      </c>
      <c r="E30">
        <v>3</v>
      </c>
      <c r="F30" t="s">
        <v>6</v>
      </c>
    </row>
    <row r="31" spans="1:6" x14ac:dyDescent="0.35">
      <c r="A31" t="s">
        <v>82</v>
      </c>
      <c r="B31" t="s">
        <v>75</v>
      </c>
      <c r="C31" t="s">
        <v>24</v>
      </c>
      <c r="D31" s="2">
        <v>46028</v>
      </c>
      <c r="E31">
        <v>3</v>
      </c>
      <c r="F31" t="s">
        <v>12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
  <sheetViews>
    <sheetView workbookViewId="0">
      <selection activeCell="A3" sqref="A3"/>
    </sheetView>
  </sheetViews>
  <sheetFormatPr defaultRowHeight="14.5" x14ac:dyDescent="0.35"/>
  <cols>
    <col min="1" max="1" width="15.36328125" bestFit="1" customWidth="1"/>
    <col min="2" max="2" width="19.54296875" bestFit="1" customWidth="1"/>
    <col min="3" max="3" width="21.1796875" bestFit="1" customWidth="1"/>
    <col min="4" max="4" width="20.54296875" bestFit="1" customWidth="1"/>
  </cols>
  <sheetData>
    <row r="1" spans="1:4" x14ac:dyDescent="0.35">
      <c r="A1" s="1" t="s">
        <v>1</v>
      </c>
      <c r="B1" s="1" t="s">
        <v>83</v>
      </c>
      <c r="C1" s="4" t="s">
        <v>132</v>
      </c>
      <c r="D1" s="3" t="s">
        <v>129</v>
      </c>
    </row>
    <row r="2" spans="1:4" x14ac:dyDescent="0.35">
      <c r="A2" t="s">
        <v>26</v>
      </c>
      <c r="B2" t="s">
        <v>84</v>
      </c>
      <c r="C2" t="s">
        <v>85</v>
      </c>
      <c r="D2" s="2">
        <v>45672</v>
      </c>
    </row>
    <row r="3" spans="1:4" x14ac:dyDescent="0.35">
      <c r="A3" t="s">
        <v>99</v>
      </c>
      <c r="B3" t="s">
        <v>84</v>
      </c>
      <c r="C3" t="s">
        <v>85</v>
      </c>
      <c r="D3" s="2">
        <v>45672</v>
      </c>
    </row>
    <row r="4" spans="1:4" x14ac:dyDescent="0.35">
      <c r="A4" t="s">
        <v>37</v>
      </c>
      <c r="B4" t="s">
        <v>84</v>
      </c>
      <c r="C4" t="s">
        <v>85</v>
      </c>
      <c r="D4" s="2">
        <v>45672</v>
      </c>
    </row>
    <row r="5" spans="1:4" x14ac:dyDescent="0.35">
      <c r="A5" t="s">
        <v>58</v>
      </c>
      <c r="B5" t="s">
        <v>86</v>
      </c>
      <c r="C5" t="s">
        <v>87</v>
      </c>
      <c r="D5" s="2">
        <v>45708</v>
      </c>
    </row>
    <row r="6" spans="1:4" x14ac:dyDescent="0.35">
      <c r="A6" t="s">
        <v>33</v>
      </c>
      <c r="B6" t="s">
        <v>86</v>
      </c>
      <c r="C6" t="s">
        <v>87</v>
      </c>
      <c r="D6" s="2">
        <v>45708</v>
      </c>
    </row>
    <row r="7" spans="1:4" x14ac:dyDescent="0.35">
      <c r="A7" t="s">
        <v>19</v>
      </c>
      <c r="B7" t="s">
        <v>86</v>
      </c>
      <c r="C7" t="s">
        <v>87</v>
      </c>
      <c r="D7" s="2">
        <v>45708</v>
      </c>
    </row>
    <row r="8" spans="1:4" x14ac:dyDescent="0.35">
      <c r="A8" t="s">
        <v>23</v>
      </c>
      <c r="B8" t="s">
        <v>86</v>
      </c>
      <c r="C8" t="s">
        <v>87</v>
      </c>
      <c r="D8" s="2">
        <v>45708</v>
      </c>
    </row>
    <row r="9" spans="1:4" x14ac:dyDescent="0.35">
      <c r="A9" t="s">
        <v>61</v>
      </c>
      <c r="B9" t="s">
        <v>130</v>
      </c>
      <c r="C9" t="s">
        <v>133</v>
      </c>
      <c r="D9" s="2">
        <v>45728</v>
      </c>
    </row>
    <row r="10" spans="1:4" x14ac:dyDescent="0.35">
      <c r="A10" t="s">
        <v>54</v>
      </c>
      <c r="B10" t="s">
        <v>130</v>
      </c>
      <c r="C10" t="s">
        <v>133</v>
      </c>
      <c r="D10" s="2">
        <v>45728</v>
      </c>
    </row>
    <row r="11" spans="1:4" x14ac:dyDescent="0.35">
      <c r="A11" t="s">
        <v>13</v>
      </c>
      <c r="B11" t="s">
        <v>130</v>
      </c>
      <c r="C11" t="s">
        <v>133</v>
      </c>
      <c r="D11" s="2">
        <v>45728</v>
      </c>
    </row>
    <row r="12" spans="1:4" x14ac:dyDescent="0.35">
      <c r="A12" t="s">
        <v>47</v>
      </c>
      <c r="B12" t="s">
        <v>131</v>
      </c>
      <c r="C12" t="s">
        <v>134</v>
      </c>
      <c r="D12" s="2">
        <v>45748</v>
      </c>
    </row>
    <row r="13" spans="1:4" x14ac:dyDescent="0.35">
      <c r="A13" t="s">
        <v>62</v>
      </c>
      <c r="B13" t="s">
        <v>131</v>
      </c>
      <c r="C13" t="s">
        <v>134</v>
      </c>
      <c r="D13" s="2">
        <v>45748</v>
      </c>
    </row>
    <row r="14" spans="1:4" x14ac:dyDescent="0.35">
      <c r="A14" t="s">
        <v>15</v>
      </c>
      <c r="B14" t="s">
        <v>131</v>
      </c>
      <c r="C14" t="s">
        <v>134</v>
      </c>
      <c r="D14" s="2">
        <v>45748</v>
      </c>
    </row>
    <row r="15" spans="1:4" x14ac:dyDescent="0.35">
      <c r="A15" t="s">
        <v>64</v>
      </c>
      <c r="B15" t="s">
        <v>88</v>
      </c>
      <c r="C15" t="s">
        <v>135</v>
      </c>
      <c r="D15" s="2">
        <v>45795</v>
      </c>
    </row>
    <row r="16" spans="1:4" x14ac:dyDescent="0.35">
      <c r="A16" t="s">
        <v>30</v>
      </c>
      <c r="B16" t="s">
        <v>88</v>
      </c>
      <c r="C16" t="s">
        <v>135</v>
      </c>
      <c r="D16" s="2">
        <v>45795</v>
      </c>
    </row>
    <row r="17" spans="1:4" x14ac:dyDescent="0.35">
      <c r="A17" t="s">
        <v>34</v>
      </c>
      <c r="B17" t="s">
        <v>88</v>
      </c>
      <c r="C17" t="s">
        <v>135</v>
      </c>
      <c r="D17" s="2">
        <v>45795</v>
      </c>
    </row>
    <row r="18" spans="1:4" x14ac:dyDescent="0.35">
      <c r="A18" t="s">
        <v>50</v>
      </c>
      <c r="B18" t="s">
        <v>89</v>
      </c>
      <c r="C18" t="s">
        <v>90</v>
      </c>
      <c r="D18" s="2">
        <v>45830</v>
      </c>
    </row>
    <row r="19" spans="1:4" x14ac:dyDescent="0.35">
      <c r="A19" t="s">
        <v>42</v>
      </c>
      <c r="B19" t="s">
        <v>89</v>
      </c>
      <c r="C19" t="s">
        <v>90</v>
      </c>
      <c r="D19" s="2">
        <v>45830</v>
      </c>
    </row>
    <row r="20" spans="1:4" x14ac:dyDescent="0.35">
      <c r="A20" t="s">
        <v>10</v>
      </c>
      <c r="B20" t="s">
        <v>91</v>
      </c>
      <c r="C20" t="s">
        <v>92</v>
      </c>
      <c r="D20" s="2">
        <v>45843</v>
      </c>
    </row>
    <row r="21" spans="1:4" x14ac:dyDescent="0.35">
      <c r="A21" t="s">
        <v>67</v>
      </c>
      <c r="B21" t="s">
        <v>91</v>
      </c>
      <c r="C21" t="s">
        <v>92</v>
      </c>
      <c r="D21" s="2">
        <v>45843</v>
      </c>
    </row>
    <row r="22" spans="1:4" x14ac:dyDescent="0.35">
      <c r="A22" t="s">
        <v>60</v>
      </c>
      <c r="B22" t="s">
        <v>91</v>
      </c>
      <c r="C22" t="s">
        <v>92</v>
      </c>
      <c r="D22" s="2">
        <v>45843</v>
      </c>
    </row>
    <row r="23" spans="1:4" x14ac:dyDescent="0.35">
      <c r="A23" t="s">
        <v>7</v>
      </c>
      <c r="B23" t="s">
        <v>93</v>
      </c>
      <c r="C23" t="s">
        <v>94</v>
      </c>
      <c r="D23" s="2">
        <v>45888</v>
      </c>
    </row>
    <row r="24" spans="1:4" x14ac:dyDescent="0.35">
      <c r="A24" t="s">
        <v>40</v>
      </c>
      <c r="B24" t="s">
        <v>93</v>
      </c>
      <c r="C24" t="s">
        <v>94</v>
      </c>
      <c r="D24" s="2">
        <v>45888</v>
      </c>
    </row>
    <row r="25" spans="1:4" x14ac:dyDescent="0.35">
      <c r="A25" t="s">
        <v>28</v>
      </c>
      <c r="B25" t="s">
        <v>93</v>
      </c>
      <c r="C25" t="s">
        <v>94</v>
      </c>
      <c r="D25" s="2">
        <v>45888</v>
      </c>
    </row>
    <row r="26" spans="1:4" x14ac:dyDescent="0.35">
      <c r="A26" t="s">
        <v>51</v>
      </c>
      <c r="B26" t="s">
        <v>95</v>
      </c>
      <c r="C26" t="s">
        <v>96</v>
      </c>
      <c r="D26" s="2">
        <v>45911</v>
      </c>
    </row>
    <row r="27" spans="1:4" x14ac:dyDescent="0.35">
      <c r="A27" t="s">
        <v>75</v>
      </c>
      <c r="B27" t="s">
        <v>95</v>
      </c>
      <c r="C27" t="s">
        <v>96</v>
      </c>
      <c r="D27" s="2">
        <v>45911</v>
      </c>
    </row>
    <row r="28" spans="1:4" x14ac:dyDescent="0.35">
      <c r="A28" t="s">
        <v>4</v>
      </c>
      <c r="B28" t="s">
        <v>95</v>
      </c>
      <c r="C28" t="s">
        <v>96</v>
      </c>
      <c r="D28" s="2">
        <v>45911</v>
      </c>
    </row>
    <row r="29" spans="1:4" x14ac:dyDescent="0.35">
      <c r="A29" t="s">
        <v>56</v>
      </c>
      <c r="B29" t="s">
        <v>97</v>
      </c>
      <c r="C29" t="s">
        <v>98</v>
      </c>
      <c r="D29" s="2">
        <v>45932</v>
      </c>
    </row>
    <row r="30" spans="1:4" x14ac:dyDescent="0.35">
      <c r="A30" t="s">
        <v>71</v>
      </c>
      <c r="B30" t="s">
        <v>97</v>
      </c>
      <c r="C30" t="s">
        <v>98</v>
      </c>
      <c r="D30" s="2">
        <v>45932</v>
      </c>
    </row>
    <row r="31" spans="1:4" x14ac:dyDescent="0.35">
      <c r="A31" t="s">
        <v>48</v>
      </c>
      <c r="B31" t="s">
        <v>97</v>
      </c>
      <c r="C31" t="s">
        <v>98</v>
      </c>
      <c r="D31" s="2">
        <v>45932</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selection activeCell="A2" sqref="A2"/>
    </sheetView>
  </sheetViews>
  <sheetFormatPr defaultRowHeight="14.5" x14ac:dyDescent="0.35"/>
  <cols>
    <col min="1" max="1" width="11.26953125" customWidth="1"/>
    <col min="2" max="2" width="25.6328125" bestFit="1" customWidth="1"/>
    <col min="3" max="3" width="25.6328125" customWidth="1"/>
    <col min="4" max="4" width="25.6328125" style="5" customWidth="1"/>
  </cols>
  <sheetData>
    <row r="1" spans="1:4" x14ac:dyDescent="0.35">
      <c r="A1" s="6" t="s">
        <v>2</v>
      </c>
      <c r="B1" s="6" t="s">
        <v>100</v>
      </c>
      <c r="C1" s="6" t="s">
        <v>101</v>
      </c>
      <c r="D1" s="7" t="s">
        <v>136</v>
      </c>
    </row>
    <row r="2" spans="1:4" x14ac:dyDescent="0.35">
      <c r="A2" t="s">
        <v>20</v>
      </c>
      <c r="B2" t="s">
        <v>102</v>
      </c>
      <c r="C2" t="s">
        <v>103</v>
      </c>
      <c r="D2" s="5">
        <v>25</v>
      </c>
    </row>
    <row r="3" spans="1:4" x14ac:dyDescent="0.35">
      <c r="A3" t="s">
        <v>43</v>
      </c>
      <c r="B3" t="s">
        <v>104</v>
      </c>
      <c r="C3" t="s">
        <v>103</v>
      </c>
      <c r="D3" s="5">
        <v>75.989999999999995</v>
      </c>
    </row>
    <row r="4" spans="1:4" x14ac:dyDescent="0.35">
      <c r="A4" t="s">
        <v>11</v>
      </c>
      <c r="B4" t="s">
        <v>105</v>
      </c>
      <c r="C4" t="s">
        <v>116</v>
      </c>
      <c r="D4" s="5">
        <v>199.99</v>
      </c>
    </row>
    <row r="5" spans="1:4" x14ac:dyDescent="0.35">
      <c r="A5" t="s">
        <v>24</v>
      </c>
      <c r="B5" t="s">
        <v>106</v>
      </c>
      <c r="C5" t="s">
        <v>107</v>
      </c>
      <c r="D5" s="5">
        <v>29.99</v>
      </c>
    </row>
    <row r="6" spans="1:4" x14ac:dyDescent="0.35">
      <c r="A6" t="s">
        <v>16</v>
      </c>
      <c r="B6" t="s">
        <v>108</v>
      </c>
      <c r="C6" t="s">
        <v>109</v>
      </c>
      <c r="D6" s="5">
        <v>15.5</v>
      </c>
    </row>
    <row r="7" spans="1:4" x14ac:dyDescent="0.35">
      <c r="A7" t="s">
        <v>5</v>
      </c>
      <c r="B7" t="s">
        <v>110</v>
      </c>
      <c r="C7" t="s">
        <v>111</v>
      </c>
      <c r="D7" s="5">
        <v>45</v>
      </c>
    </row>
    <row r="8" spans="1:4" x14ac:dyDescent="0.35">
      <c r="A8" t="s">
        <v>35</v>
      </c>
      <c r="B8" t="s">
        <v>112</v>
      </c>
      <c r="C8" t="s">
        <v>111</v>
      </c>
      <c r="D8" s="5">
        <v>120</v>
      </c>
    </row>
    <row r="9" spans="1:4" x14ac:dyDescent="0.35">
      <c r="A9" t="s">
        <v>41</v>
      </c>
      <c r="B9" t="s">
        <v>113</v>
      </c>
      <c r="C9" t="s">
        <v>107</v>
      </c>
      <c r="D9" s="5">
        <v>12.99</v>
      </c>
    </row>
    <row r="10" spans="1:4" x14ac:dyDescent="0.35">
      <c r="A10" t="s">
        <v>38</v>
      </c>
      <c r="B10" t="s">
        <v>114</v>
      </c>
      <c r="C10" t="s">
        <v>103</v>
      </c>
      <c r="D10" s="5">
        <v>25</v>
      </c>
    </row>
    <row r="11" spans="1:4" x14ac:dyDescent="0.35">
      <c r="A11" t="s">
        <v>52</v>
      </c>
      <c r="B11" t="s">
        <v>115</v>
      </c>
      <c r="C11" t="s">
        <v>116</v>
      </c>
      <c r="D11" s="5">
        <v>89.99</v>
      </c>
    </row>
    <row r="12" spans="1:4" x14ac:dyDescent="0.35">
      <c r="A12" t="s">
        <v>14</v>
      </c>
      <c r="B12" t="s">
        <v>117</v>
      </c>
      <c r="C12" t="s">
        <v>118</v>
      </c>
      <c r="D12" s="5">
        <v>19.989999999999998</v>
      </c>
    </row>
    <row r="13" spans="1:4" x14ac:dyDescent="0.35">
      <c r="A13" t="s">
        <v>17</v>
      </c>
      <c r="B13" t="s">
        <v>119</v>
      </c>
      <c r="C13" t="s">
        <v>109</v>
      </c>
      <c r="D13" s="5">
        <v>34.5</v>
      </c>
    </row>
    <row r="14" spans="1:4" x14ac:dyDescent="0.35">
      <c r="A14" t="s">
        <v>21</v>
      </c>
      <c r="B14" t="s">
        <v>120</v>
      </c>
      <c r="C14" t="s">
        <v>121</v>
      </c>
      <c r="D14" s="5">
        <v>249.99</v>
      </c>
    </row>
    <row r="15" spans="1:4" x14ac:dyDescent="0.35">
      <c r="A15" t="s">
        <v>27</v>
      </c>
      <c r="B15" t="s">
        <v>122</v>
      </c>
      <c r="C15" t="s">
        <v>103</v>
      </c>
      <c r="D15" s="5">
        <v>59.99</v>
      </c>
    </row>
    <row r="16" spans="1:4" x14ac:dyDescent="0.35">
      <c r="A16" t="s">
        <v>31</v>
      </c>
      <c r="B16" t="s">
        <v>123</v>
      </c>
      <c r="C16" t="s">
        <v>111</v>
      </c>
      <c r="D16" s="5">
        <v>79</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election activeCell="A2" sqref="A2"/>
    </sheetView>
  </sheetViews>
  <sheetFormatPr defaultRowHeight="14.5" x14ac:dyDescent="0.35"/>
  <cols>
    <col min="1" max="1" width="9.08984375" customWidth="1"/>
    <col min="2" max="2" width="8.453125" customWidth="1"/>
    <col min="3" max="3" width="15.7265625" customWidth="1"/>
  </cols>
  <sheetData>
    <row r="1" spans="1:3" x14ac:dyDescent="0.35">
      <c r="A1" s="6" t="s">
        <v>3</v>
      </c>
      <c r="B1" s="6" t="s">
        <v>138</v>
      </c>
      <c r="C1" s="6" t="s">
        <v>142</v>
      </c>
    </row>
    <row r="2" spans="1:3" x14ac:dyDescent="0.35">
      <c r="A2" t="s">
        <v>22</v>
      </c>
      <c r="B2" t="s">
        <v>137</v>
      </c>
      <c r="C2" t="s">
        <v>124</v>
      </c>
    </row>
    <row r="3" spans="1:3" x14ac:dyDescent="0.35">
      <c r="A3" t="s">
        <v>12</v>
      </c>
      <c r="B3" t="s">
        <v>139</v>
      </c>
      <c r="C3" t="s">
        <v>143</v>
      </c>
    </row>
    <row r="4" spans="1:3" x14ac:dyDescent="0.35">
      <c r="A4" t="s">
        <v>6</v>
      </c>
      <c r="B4" t="s">
        <v>140</v>
      </c>
      <c r="C4" t="s">
        <v>125</v>
      </c>
    </row>
    <row r="5" spans="1:3" x14ac:dyDescent="0.35">
      <c r="A5" t="s">
        <v>8</v>
      </c>
      <c r="B5" t="s">
        <v>141</v>
      </c>
      <c r="C5" t="s">
        <v>144</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DFA8B-D82E-492D-8722-63262A19E049}">
  <dimension ref="B3:F51"/>
  <sheetViews>
    <sheetView topLeftCell="A36" workbookViewId="0">
      <selection activeCell="C52" sqref="C52"/>
    </sheetView>
  </sheetViews>
  <sheetFormatPr defaultRowHeight="14.5" x14ac:dyDescent="0.35"/>
  <cols>
    <col min="2" max="2" width="17.26953125" bestFit="1" customWidth="1"/>
    <col min="3" max="3" width="12.7265625" bestFit="1" customWidth="1"/>
    <col min="4" max="4" width="7.36328125" bestFit="1" customWidth="1"/>
    <col min="5" max="5" width="6.08984375" bestFit="1" customWidth="1"/>
    <col min="6" max="6" width="10.7265625" bestFit="1" customWidth="1"/>
    <col min="7" max="9" width="8.453125" bestFit="1" customWidth="1"/>
    <col min="10" max="31" width="9.453125" bestFit="1" customWidth="1"/>
    <col min="32" max="39" width="8.453125" bestFit="1" customWidth="1"/>
    <col min="40" max="55" width="9.453125" bestFit="1" customWidth="1"/>
    <col min="56" max="56" width="8.453125" bestFit="1" customWidth="1"/>
    <col min="57" max="57" width="10.7265625" bestFit="1" customWidth="1"/>
  </cols>
  <sheetData>
    <row r="3" spans="2:6" x14ac:dyDescent="0.35">
      <c r="B3" s="9" t="s">
        <v>145</v>
      </c>
      <c r="C3" s="9" t="s">
        <v>153</v>
      </c>
    </row>
    <row r="4" spans="2:6" x14ac:dyDescent="0.35">
      <c r="C4" t="s">
        <v>150</v>
      </c>
      <c r="D4" t="s">
        <v>151</v>
      </c>
      <c r="E4" t="s">
        <v>152</v>
      </c>
      <c r="F4" t="s">
        <v>149</v>
      </c>
    </row>
    <row r="5" spans="2:6" x14ac:dyDescent="0.35">
      <c r="B5" s="9" t="s">
        <v>138</v>
      </c>
    </row>
    <row r="6" spans="2:6" x14ac:dyDescent="0.35">
      <c r="B6" s="10" t="s">
        <v>146</v>
      </c>
      <c r="C6" s="8">
        <v>1535.89</v>
      </c>
      <c r="D6" s="8">
        <v>3998.75</v>
      </c>
      <c r="E6" s="8">
        <v>91.49</v>
      </c>
      <c r="F6" s="8">
        <v>5626.1299999999992</v>
      </c>
    </row>
    <row r="7" spans="2:6" x14ac:dyDescent="0.35">
      <c r="B7" s="10" t="s">
        <v>147</v>
      </c>
      <c r="C7" s="8">
        <v>3464.7899999999995</v>
      </c>
      <c r="D7" s="8">
        <v>3463.2999999999993</v>
      </c>
      <c r="E7" s="8">
        <v>0</v>
      </c>
      <c r="F7" s="8">
        <v>6928.0899999999983</v>
      </c>
    </row>
    <row r="8" spans="2:6" x14ac:dyDescent="0.35">
      <c r="B8" s="10" t="s">
        <v>148</v>
      </c>
      <c r="C8" s="8">
        <v>3978.7999999999997</v>
      </c>
      <c r="D8" s="8">
        <v>2800.3</v>
      </c>
      <c r="E8" s="8">
        <v>599.97</v>
      </c>
      <c r="F8" s="8">
        <v>7379.07</v>
      </c>
    </row>
    <row r="9" spans="2:6" x14ac:dyDescent="0.35">
      <c r="B9" s="10" t="s">
        <v>140</v>
      </c>
      <c r="C9" s="8">
        <v>3344.8100000000004</v>
      </c>
      <c r="D9" s="8">
        <v>3871.83</v>
      </c>
      <c r="E9" s="8">
        <v>39.979999999999997</v>
      </c>
      <c r="F9" s="8">
        <v>7256.6200000000008</v>
      </c>
    </row>
    <row r="10" spans="2:6" x14ac:dyDescent="0.35">
      <c r="B10" s="10" t="s">
        <v>149</v>
      </c>
      <c r="C10" s="8">
        <v>12324.289999999994</v>
      </c>
      <c r="D10" s="8">
        <v>14134.179999999995</v>
      </c>
      <c r="E10" s="8">
        <v>731.44</v>
      </c>
      <c r="F10" s="8">
        <v>27189.910000000007</v>
      </c>
    </row>
    <row r="18" spans="2:4" x14ac:dyDescent="0.35">
      <c r="B18" s="9" t="s">
        <v>2</v>
      </c>
      <c r="C18" t="s">
        <v>154</v>
      </c>
      <c r="D18" t="s">
        <v>145</v>
      </c>
    </row>
    <row r="19" spans="2:4" x14ac:dyDescent="0.35">
      <c r="B19" s="10" t="s">
        <v>107</v>
      </c>
      <c r="C19" s="11">
        <v>37</v>
      </c>
      <c r="D19" s="8">
        <v>871.63000000000022</v>
      </c>
    </row>
    <row r="20" spans="2:4" x14ac:dyDescent="0.35">
      <c r="B20" s="10" t="s">
        <v>111</v>
      </c>
      <c r="C20" s="11">
        <v>75</v>
      </c>
      <c r="D20" s="8">
        <v>6407</v>
      </c>
    </row>
    <row r="21" spans="2:4" x14ac:dyDescent="0.35">
      <c r="B21" s="10" t="s">
        <v>116</v>
      </c>
      <c r="C21" s="11">
        <v>53</v>
      </c>
      <c r="D21" s="8">
        <v>7299.4699999999984</v>
      </c>
    </row>
    <row r="22" spans="2:4" x14ac:dyDescent="0.35">
      <c r="B22" s="10" t="s">
        <v>103</v>
      </c>
      <c r="C22" s="11">
        <v>68</v>
      </c>
      <c r="D22" s="8">
        <v>2976.6899999999996</v>
      </c>
    </row>
    <row r="23" spans="2:4" x14ac:dyDescent="0.35">
      <c r="B23" s="10" t="s">
        <v>121</v>
      </c>
      <c r="C23" s="11">
        <v>32</v>
      </c>
      <c r="D23" s="8">
        <v>7999.68</v>
      </c>
    </row>
    <row r="24" spans="2:4" x14ac:dyDescent="0.35">
      <c r="B24" s="10" t="s">
        <v>118</v>
      </c>
      <c r="C24" s="11">
        <v>6</v>
      </c>
      <c r="D24" s="8">
        <v>119.94</v>
      </c>
    </row>
    <row r="25" spans="2:4" x14ac:dyDescent="0.35">
      <c r="B25" s="10" t="s">
        <v>109</v>
      </c>
      <c r="C25" s="11">
        <v>61</v>
      </c>
      <c r="D25" s="8">
        <v>1515.5</v>
      </c>
    </row>
    <row r="26" spans="2:4" x14ac:dyDescent="0.35">
      <c r="B26" s="10" t="s">
        <v>149</v>
      </c>
      <c r="C26" s="11">
        <v>332</v>
      </c>
      <c r="D26" s="8">
        <v>27189.910000000007</v>
      </c>
    </row>
    <row r="29" spans="2:4" x14ac:dyDescent="0.35">
      <c r="B29" s="9" t="s">
        <v>155</v>
      </c>
      <c r="C29" t="s">
        <v>145</v>
      </c>
    </row>
    <row r="30" spans="2:4" x14ac:dyDescent="0.35">
      <c r="B30" s="10" t="s">
        <v>86</v>
      </c>
      <c r="C30" s="8">
        <v>4740.6999999999989</v>
      </c>
    </row>
    <row r="31" spans="2:4" x14ac:dyDescent="0.35">
      <c r="B31" s="10" t="s">
        <v>91</v>
      </c>
      <c r="C31" s="8">
        <v>3916.7899999999995</v>
      </c>
    </row>
    <row r="32" spans="2:4" x14ac:dyDescent="0.35">
      <c r="B32" s="10" t="s">
        <v>131</v>
      </c>
      <c r="C32" s="8">
        <v>3485.84</v>
      </c>
    </row>
    <row r="33" spans="2:3" x14ac:dyDescent="0.35">
      <c r="B33" s="10" t="s">
        <v>130</v>
      </c>
      <c r="C33" s="8">
        <v>3022.29</v>
      </c>
    </row>
    <row r="34" spans="2:3" x14ac:dyDescent="0.35">
      <c r="B34" s="10" t="s">
        <v>89</v>
      </c>
      <c r="C34" s="8">
        <v>2927.37</v>
      </c>
    </row>
    <row r="35" spans="2:3" x14ac:dyDescent="0.35">
      <c r="B35" s="10" t="s">
        <v>93</v>
      </c>
      <c r="C35" s="8">
        <v>2918.84</v>
      </c>
    </row>
    <row r="36" spans="2:3" x14ac:dyDescent="0.35">
      <c r="B36" s="10" t="s">
        <v>84</v>
      </c>
      <c r="C36" s="8">
        <v>1836.4</v>
      </c>
    </row>
    <row r="37" spans="2:3" x14ac:dyDescent="0.35">
      <c r="B37" s="10" t="s">
        <v>88</v>
      </c>
      <c r="C37" s="8">
        <v>1180.46</v>
      </c>
    </row>
    <row r="38" spans="2:3" x14ac:dyDescent="0.35">
      <c r="B38" s="10" t="s">
        <v>95</v>
      </c>
      <c r="C38" s="8">
        <v>1113.42</v>
      </c>
    </row>
    <row r="39" spans="2:3" x14ac:dyDescent="0.35">
      <c r="B39" s="10" t="s">
        <v>97</v>
      </c>
      <c r="C39" s="8">
        <v>914.39</v>
      </c>
    </row>
    <row r="40" spans="2:3" x14ac:dyDescent="0.35">
      <c r="B40" s="10" t="s">
        <v>149</v>
      </c>
      <c r="C40" s="8">
        <v>26056.500000000004</v>
      </c>
    </row>
    <row r="44" spans="2:3" x14ac:dyDescent="0.35">
      <c r="B44" t="s">
        <v>156</v>
      </c>
    </row>
    <row r="45" spans="2:3" x14ac:dyDescent="0.35">
      <c r="B45" t="s">
        <v>145</v>
      </c>
    </row>
    <row r="46" spans="2:3" x14ac:dyDescent="0.35">
      <c r="B46" t="s">
        <v>145</v>
      </c>
    </row>
    <row r="47" spans="2:3" x14ac:dyDescent="0.35">
      <c r="B47" s="8">
        <v>27189.910000000007</v>
      </c>
      <c r="C47" s="5">
        <f>GETPIVOTDATA("[Measures].[Total Revenue]",$B$46)</f>
        <v>27189.910000000007</v>
      </c>
    </row>
    <row r="49" spans="2:3" x14ac:dyDescent="0.35">
      <c r="B49" t="s">
        <v>157</v>
      </c>
    </row>
    <row r="50" spans="2:3" x14ac:dyDescent="0.35">
      <c r="B50" t="s">
        <v>154</v>
      </c>
    </row>
    <row r="51" spans="2:3" x14ac:dyDescent="0.35">
      <c r="B51" s="11">
        <v>359</v>
      </c>
      <c r="C51">
        <f>GETPIVOTDATA("[Measures].[Sum of Qty_Order]",$B$50)</f>
        <v>359</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A33AE-F29E-4C1B-B79F-945813FEF438}">
  <dimension ref="A1"/>
  <sheetViews>
    <sheetView showGridLines="0" tabSelected="1" workbookViewId="0">
      <selection activeCell="H33" sqref="H3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4A9D58B6-3280-40DC-8A00-50BFB502BD55}">
  <ds:schemaRefs/>
</ds:datastoreItem>
</file>

<file path=customXml/itemProps2.xml><?xml version="1.0" encoding="utf-8"?>
<ds:datastoreItem xmlns:ds="http://schemas.openxmlformats.org/officeDocument/2006/customXml" ds:itemID="{1D8C41CA-AA78-44A2-87F7-51E044BAD697}">
  <ds:schemaRefs/>
</ds:datastoreItem>
</file>

<file path=customXml/itemProps3.xml><?xml version="1.0" encoding="utf-8"?>
<ds:datastoreItem xmlns:ds="http://schemas.openxmlformats.org/officeDocument/2006/customXml" ds:itemID="{AC2C665B-A7AE-4BC0-8C63-52D1DDAD1464}">
  <ds:schemaRefs/>
</ds:datastoreItem>
</file>

<file path=customXml/itemProps4.xml><?xml version="1.0" encoding="utf-8"?>
<ds:datastoreItem xmlns:ds="http://schemas.openxmlformats.org/officeDocument/2006/customXml" ds:itemID="{A2F1A38B-295C-47DC-A8C9-A82B62462D9F}">
  <ds:schemaRefs/>
</ds:datastoreItem>
</file>

<file path=customXml/itemProps5.xml><?xml version="1.0" encoding="utf-8"?>
<ds:datastoreItem xmlns:ds="http://schemas.openxmlformats.org/officeDocument/2006/customXml" ds:itemID="{256780B7-E882-4707-94CE-D177579440B8}">
  <ds:schemaRefs/>
</ds:datastoreItem>
</file>

<file path=customXml/itemProps6.xml><?xml version="1.0" encoding="utf-8"?>
<ds:datastoreItem xmlns:ds="http://schemas.openxmlformats.org/officeDocument/2006/customXml" ds:itemID="{9FB0F8B2-2278-4982-8530-7887DDD73DBB}">
  <ds:schemaRefs/>
</ds:datastoreItem>
</file>

<file path=customXml/itemProps7.xml><?xml version="1.0" encoding="utf-8"?>
<ds:datastoreItem xmlns:ds="http://schemas.openxmlformats.org/officeDocument/2006/customXml" ds:itemID="{C5E74605-11B6-4DFF-B37B-5135A57DCE75}">
  <ds:schemaRefs/>
</ds:datastoreItem>
</file>

<file path=customXml/itemProps8.xml><?xml version="1.0" encoding="utf-8"?>
<ds:datastoreItem xmlns:ds="http://schemas.openxmlformats.org/officeDocument/2006/customXml" ds:itemID="{BE5ADD7A-33E6-4665-A4BC-507DE4CDB208}">
  <ds:schemaRefs/>
</ds:datastoreItem>
</file>

<file path=customXml/itemProps9.xml><?xml version="1.0" encoding="utf-8"?>
<ds:datastoreItem xmlns:ds="http://schemas.openxmlformats.org/officeDocument/2006/customXml" ds:itemID="{300B384C-BD82-497E-8BD3-EDA706600A50}">
  <ds:schemaRefs/>
</ds:datastoreItem>
</file>

<file path=customXml/itemProps10.xml><?xml version="1.0" encoding="utf-8"?>
<ds:datastoreItem xmlns:ds="http://schemas.openxmlformats.org/officeDocument/2006/customXml" ds:itemID="{92D75226-29A8-4908-A028-3273E9D167FB}">
  <ds:schemaRefs/>
</ds:datastoreItem>
</file>

<file path=customXml/itemProps11.xml><?xml version="1.0" encoding="utf-8"?>
<ds:datastoreItem xmlns:ds="http://schemas.openxmlformats.org/officeDocument/2006/customXml" ds:itemID="{E3792CB4-077E-4C6E-94B1-442DCA50338E}">
  <ds:schemaRefs/>
</ds:datastoreItem>
</file>

<file path=customXml/itemProps12.xml><?xml version="1.0" encoding="utf-8"?>
<ds:datastoreItem xmlns:ds="http://schemas.openxmlformats.org/officeDocument/2006/customXml" ds:itemID="{4A762B83-41F4-45ED-BBDF-B97DD89F8CB9}">
  <ds:schemaRefs/>
</ds:datastoreItem>
</file>

<file path=customXml/itemProps13.xml><?xml version="1.0" encoding="utf-8"?>
<ds:datastoreItem xmlns:ds="http://schemas.openxmlformats.org/officeDocument/2006/customXml" ds:itemID="{0DB12664-2AE4-46CB-9238-67A023BDC5DC}">
  <ds:schemaRefs/>
</ds:datastoreItem>
</file>

<file path=customXml/itemProps14.xml><?xml version="1.0" encoding="utf-8"?>
<ds:datastoreItem xmlns:ds="http://schemas.openxmlformats.org/officeDocument/2006/customXml" ds:itemID="{C6C21383-AD85-4777-AC2E-5146F96FAEE1}">
  <ds:schemaRefs/>
</ds:datastoreItem>
</file>

<file path=customXml/itemProps15.xml><?xml version="1.0" encoding="utf-8"?>
<ds:datastoreItem xmlns:ds="http://schemas.openxmlformats.org/officeDocument/2006/customXml" ds:itemID="{6B1188D8-CC88-4F9A-B7A8-2CE19B5897BB}">
  <ds:schemaRefs/>
</ds:datastoreItem>
</file>

<file path=customXml/itemProps16.xml><?xml version="1.0" encoding="utf-8"?>
<ds:datastoreItem xmlns:ds="http://schemas.openxmlformats.org/officeDocument/2006/customXml" ds:itemID="{9C2B35A3-0ED1-4352-888D-1D42B2F9BEA3}">
  <ds:schemaRefs/>
</ds:datastoreItem>
</file>

<file path=customXml/itemProps17.xml><?xml version="1.0" encoding="utf-8"?>
<ds:datastoreItem xmlns:ds="http://schemas.openxmlformats.org/officeDocument/2006/customXml" ds:itemID="{F057507F-D192-4E8B-AD65-75F4B9068DC1}">
  <ds:schemaRefs/>
</ds:datastoreItem>
</file>

<file path=customXml/itemProps18.xml><?xml version="1.0" encoding="utf-8"?>
<ds:datastoreItem xmlns:ds="http://schemas.openxmlformats.org/officeDocument/2006/customXml" ds:itemID="{72349A34-0CB8-4692-9B62-620820F59C2D}">
  <ds:schemaRefs/>
</ds:datastoreItem>
</file>

<file path=customXml/itemProps19.xml><?xml version="1.0" encoding="utf-8"?>
<ds:datastoreItem xmlns:ds="http://schemas.openxmlformats.org/officeDocument/2006/customXml" ds:itemID="{9F007ADD-922D-421B-874D-5FDCA38FFA90}">
  <ds:schemaRefs/>
</ds:datastoreItem>
</file>

<file path=customXml/itemProps20.xml><?xml version="1.0" encoding="utf-8"?>
<ds:datastoreItem xmlns:ds="http://schemas.openxmlformats.org/officeDocument/2006/customXml" ds:itemID="{63FAF7D6-771A-4EC6-BD96-F6121F5E06B4}">
  <ds:schemaRefs/>
</ds:datastoreItem>
</file>

<file path=customXml/itemProps21.xml><?xml version="1.0" encoding="utf-8"?>
<ds:datastoreItem xmlns:ds="http://schemas.openxmlformats.org/officeDocument/2006/customXml" ds:itemID="{6E6A4826-FF28-4942-945D-C2EB3AB2C760}">
  <ds:schemaRefs/>
</ds:datastoreItem>
</file>

<file path=customXml/itemProps22.xml><?xml version="1.0" encoding="utf-8"?>
<ds:datastoreItem xmlns:ds="http://schemas.openxmlformats.org/officeDocument/2006/customXml" ds:itemID="{773781F0-159A-4DB7-B215-4E047A5F3F1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Sales_Transactions</vt:lpstr>
      <vt:lpstr>Customers_Dim</vt:lpstr>
      <vt:lpstr>Products_Dim</vt:lpstr>
      <vt:lpstr>Stores_Dim</vt:lpstr>
      <vt:lpstr>Business Ojective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Adewale Oshinukan</cp:lastModifiedBy>
  <dcterms:created xsi:type="dcterms:W3CDTF">2026-09-21T13:15:09Z</dcterms:created>
  <dcterms:modified xsi:type="dcterms:W3CDTF">2026-09-23T19:57:15Z</dcterms:modified>
</cp:coreProperties>
</file>